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Audit 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</font>
    <font>
      <b val="1"/>
      <color rgb="00FFFFFF"/>
      <sz val="1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9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6DE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pivotButton="0" quotePrefix="0" xfId="0"/>
    <xf numFmtId="0" fontId="4" fillId="4" borderId="0" pivotButton="0" quotePrefix="0" xfId="0"/>
    <xf numFmtId="0" fontId="0" fillId="0" borderId="1" applyAlignment="1" pivotButton="0" quotePrefix="0" xfId="0">
      <alignment vertical="top" wrapText="1"/>
    </xf>
    <xf numFmtId="0" fontId="2" fillId="5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ill>
        <patternFill patternType="solid">
          <fgColor rgb="00FFC7CE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uditFindingsTable" displayName="AuditFindingsTable" ref="A1:T11" headerRowCount="1">
  <autoFilter ref="A1:T11"/>
  <tableColumns count="20">
    <tableColumn id="1" name="Finding ID"/>
    <tableColumn id="2" name="Finding Title"/>
    <tableColumn id="3" name="Audit Area"/>
    <tableColumn id="4" name="Finding Description"/>
    <tableColumn id="5" name="Criteria / Reference"/>
    <tableColumn id="6" name="Root Cause (Initial)"/>
    <tableColumn id="7" name="Risk / Impact"/>
    <tableColumn id="8" name="Severity"/>
    <tableColumn id="9" name="Likelihood (1-5)"/>
    <tableColumn id="10" name="Impact (1-5)"/>
    <tableColumn id="11" name="Risk Score"/>
    <tableColumn id="12" name="Recommendation"/>
    <tableColumn id="13" name="Corrective Action"/>
    <tableColumn id="14" name="Finding Owner"/>
    <tableColumn id="15" name="Date Identified"/>
    <tableColumn id="16" name="Target Date"/>
    <tableColumn id="17" name="Status"/>
    <tableColumn id="18" name="Closure Evidence"/>
    <tableColumn id="19" name="Reviewer / Validator"/>
    <tableColumn id="20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8" customWidth="1" min="3" max="3"/>
  </cols>
  <sheetData>
    <row r="1">
      <c r="A1" s="1" t="inlineStr">
        <is>
          <t>BalticTrust Bank — Audit Findings Summary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Interpretation</t>
        </is>
      </c>
    </row>
    <row r="3">
      <c r="A3" s="3" t="inlineStr">
        <is>
          <t>Total illustrative findings</t>
        </is>
      </c>
      <c r="B3" s="3">
        <f>COUNTA('Audit Findings'!A2:A11)</f>
        <v/>
      </c>
      <c r="C3" s="3" t="inlineStr">
        <is>
          <t>Example findings; validate before reporting</t>
        </is>
      </c>
    </row>
    <row r="4">
      <c r="A4" s="3" t="inlineStr">
        <is>
          <t>Critical findings</t>
        </is>
      </c>
      <c r="B4" s="3">
        <f>COUNTIF('Audit Findings'!H2:H11,"Critical")</f>
        <v/>
      </c>
      <c r="C4" s="3" t="inlineStr">
        <is>
          <t>Prioritize immediate review</t>
        </is>
      </c>
    </row>
    <row r="5">
      <c r="A5" s="3" t="inlineStr">
        <is>
          <t>High findings</t>
        </is>
      </c>
      <c r="B5" s="3">
        <f>COUNTIF('Audit Findings'!H2:H11,"High")</f>
        <v/>
      </c>
      <c r="C5" s="3" t="inlineStr">
        <is>
          <t>Plan timely corrective action</t>
        </is>
      </c>
    </row>
    <row r="6">
      <c r="A6" s="3" t="inlineStr">
        <is>
          <t>Medium findings</t>
        </is>
      </c>
      <c r="B6" s="3">
        <f>COUNTIF('Audit Findings'!H2:H11,"Medium")</f>
        <v/>
      </c>
      <c r="C6" s="3" t="inlineStr">
        <is>
          <t>Schedule proportionate remediation</t>
        </is>
      </c>
    </row>
    <row r="7">
      <c r="A7" s="3" t="inlineStr">
        <is>
          <t>Low findings</t>
        </is>
      </c>
      <c r="B7" s="3">
        <f>COUNTIF('Audit Findings'!H2:H11,"Low")</f>
        <v/>
      </c>
      <c r="C7" s="3" t="inlineStr">
        <is>
          <t>Monitor in line with risk appetite</t>
        </is>
      </c>
    </row>
    <row r="8">
      <c r="A8" s="3" t="inlineStr">
        <is>
          <t>Open findings</t>
        </is>
      </c>
      <c r="B8" s="3">
        <f>COUNTIF('Audit Findings'!Q2:Q11,"Open")</f>
        <v/>
      </c>
      <c r="C8" s="3" t="inlineStr">
        <is>
          <t>Awaiting remediation</t>
        </is>
      </c>
    </row>
    <row r="9">
      <c r="A9" s="3" t="inlineStr">
        <is>
          <t>In progress</t>
        </is>
      </c>
      <c r="B9" s="3">
        <f>COUNTIF('Audit Findings'!Q2:Q11,"In Progress")</f>
        <v/>
      </c>
      <c r="C9" s="3" t="inlineStr">
        <is>
          <t>Remediation underway</t>
        </is>
      </c>
    </row>
    <row r="10">
      <c r="A10" s="3" t="inlineStr">
        <is>
          <t>Closed</t>
        </is>
      </c>
      <c r="B10" s="3">
        <f>COUNTIF('Audit Findings'!Q2:Q11,"Closed")</f>
        <v/>
      </c>
      <c r="C10" s="3" t="inlineStr">
        <is>
          <t>Closure requires reviewed evidence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4" customHeight="1">
      <c r="A1" s="1" t="inlineStr">
        <is>
          <t>BalticTrust Bank — Audit Findings Register</t>
        </is>
      </c>
    </row>
    <row r="3" ht="32" customHeight="1">
      <c r="A3" s="4" t="inlineStr">
        <is>
          <t>Purpose</t>
        </is>
      </c>
      <c r="B3" s="3" t="inlineStr">
        <is>
          <t>Track illustrative audit findings, root causes, risk ratings, corrective actions, owners, due dates, status, and closure evidence.</t>
        </is>
      </c>
      <c r="C3" s="5" t="n"/>
      <c r="D3" s="5" t="n"/>
      <c r="E3" s="5" t="n"/>
      <c r="F3" s="5" t="n"/>
    </row>
    <row r="4" ht="32" customHeight="1">
      <c r="A4" s="4" t="inlineStr">
        <is>
          <t>Workbook sheets</t>
        </is>
      </c>
      <c r="B4" s="3" t="inlineStr">
        <is>
          <t>Summary: counts by severity and status. Audit Findings: detailed register. Risk Score = Likelihood × Impact.</t>
        </is>
      </c>
      <c r="C4" s="5" t="n"/>
      <c r="D4" s="5" t="n"/>
      <c r="E4" s="5" t="n"/>
      <c r="F4" s="5" t="n"/>
    </row>
    <row r="5" ht="42" customHeight="1">
      <c r="A5" s="4" t="inlineStr">
        <is>
          <t>How to use</t>
        </is>
      </c>
      <c r="B5" s="3" t="inlineStr">
        <is>
          <t>Validate each finding against evidence. Edit the finding description, criteria, root cause, risk scores, recommendation, owner, and target date to fit your assessment.</t>
        </is>
      </c>
      <c r="C5" s="5" t="n"/>
      <c r="D5" s="5" t="n"/>
      <c r="E5" s="5" t="n"/>
      <c r="F5" s="5" t="n"/>
    </row>
    <row r="6" ht="42" customHeight="1">
      <c r="A6" s="4" t="inlineStr">
        <is>
          <t>Status definitions</t>
        </is>
      </c>
      <c r="B6" s="3" t="inlineStr">
        <is>
          <t>Open = not started; In Progress = remediation underway; Blocked = impediment exists; Ready for Review = action reportedly complete; Closed = evidence reviewed and finding closure validated; Accepted Risk = formally accepted by authorized role.</t>
        </is>
      </c>
      <c r="C6" s="5" t="n"/>
      <c r="D6" s="5" t="n"/>
      <c r="E6" s="5" t="n"/>
      <c r="F6" s="5" t="n"/>
    </row>
    <row r="7" ht="42" customHeight="1">
      <c r="A7" s="4" t="inlineStr">
        <is>
          <t>Risk scoring</t>
        </is>
      </c>
      <c r="B7" s="3" t="inlineStr">
        <is>
          <t>Likelihood and impact are each rated 1–5. Risk Score is their product. Treat the supplied severity as a starting assessment and update it according to your approved scoring criteria.</t>
        </is>
      </c>
      <c r="C7" s="5" t="n"/>
      <c r="D7" s="5" t="n"/>
      <c r="E7" s="5" t="n"/>
      <c r="F7" s="5" t="n"/>
    </row>
    <row r="8" ht="42" customHeight="1">
      <c r="A8" s="4" t="inlineStr">
        <is>
          <t>Evidence discipline</t>
        </is>
      </c>
      <c r="B8" s="3" t="inlineStr">
        <is>
          <t>A finding should reference objective evidence, not assumptions alone. For the fictional portfolio, clearly label simulated evidence and avoid including secrets or real personal data.</t>
        </is>
      </c>
      <c r="C8" s="5" t="n"/>
      <c r="D8" s="5" t="n"/>
      <c r="E8" s="5" t="n"/>
      <c r="F8" s="5" t="n"/>
    </row>
    <row r="9" ht="42" customHeight="1">
      <c r="A9" s="4" t="inlineStr">
        <is>
          <t>Scope and disclaimer</t>
        </is>
      </c>
      <c r="B9" s="3" t="inlineStr">
        <is>
          <t>BalticTrust Bank is fictional. This workbook is for educational portfolio purposes only; it is not a formal audit, legal opinion, or proof of compliance. Findings are illustrative and must be validated before being described as actual results.</t>
        </is>
      </c>
      <c r="C9" s="5" t="n"/>
      <c r="D9" s="5" t="n"/>
      <c r="E9" s="5" t="n"/>
      <c r="F9" s="5" t="n"/>
    </row>
    <row r="10" ht="42" customHeight="1">
      <c r="A10" s="4" t="inlineStr">
        <is>
          <t>Recommended practice</t>
        </is>
      </c>
      <c r="B10" s="3" t="inlineStr">
        <is>
          <t>Assign one accountable owner per corrective action, set realistic deadlines, escalate overdue high-risk findings, and require a reviewer to verify closure evidence.</t>
        </is>
      </c>
      <c r="C10" s="5" t="n"/>
      <c r="D10" s="5" t="n"/>
      <c r="E10" s="5" t="n"/>
      <c r="F10" s="5" t="n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58" customWidth="1" min="4" max="4"/>
    <col width="50" customWidth="1" min="5" max="5"/>
    <col width="48" customWidth="1" min="6" max="6"/>
    <col width="58" customWidth="1" min="7" max="7"/>
    <col width="14" customWidth="1" min="8" max="8"/>
    <col width="15" customWidth="1" min="9" max="9"/>
    <col width="13" customWidth="1" min="10" max="10"/>
    <col width="13" customWidth="1" min="11" max="11"/>
    <col width="55" customWidth="1" min="12" max="12"/>
    <col width="48" customWidth="1" min="13" max="13"/>
    <col width="32" customWidth="1" min="14" max="14"/>
    <col width="16" customWidth="1" min="15" max="15"/>
    <col width="16" customWidth="1" min="16" max="16"/>
    <col width="20" customWidth="1" min="17" max="17"/>
    <col width="48" customWidth="1" min="18" max="18"/>
    <col width="30" customWidth="1" min="19" max="19"/>
    <col width="55" customWidth="1" min="20" max="20"/>
  </cols>
  <sheetData>
    <row r="1" ht="50" customHeight="1">
      <c r="A1" s="6" t="inlineStr">
        <is>
          <t>Finding ID</t>
        </is>
      </c>
      <c r="B1" s="6" t="inlineStr">
        <is>
          <t>Finding Title</t>
        </is>
      </c>
      <c r="C1" s="6" t="inlineStr">
        <is>
          <t>Audit Area</t>
        </is>
      </c>
      <c r="D1" s="6" t="inlineStr">
        <is>
          <t>Finding Description</t>
        </is>
      </c>
      <c r="E1" s="6" t="inlineStr">
        <is>
          <t>Criteria / Reference</t>
        </is>
      </c>
      <c r="F1" s="6" t="inlineStr">
        <is>
          <t>Root Cause (Initial)</t>
        </is>
      </c>
      <c r="G1" s="6" t="inlineStr">
        <is>
          <t>Risk / Impact</t>
        </is>
      </c>
      <c r="H1" s="6" t="inlineStr">
        <is>
          <t>Severity</t>
        </is>
      </c>
      <c r="I1" s="6" t="inlineStr">
        <is>
          <t>Likelihood (1-5)</t>
        </is>
      </c>
      <c r="J1" s="6" t="inlineStr">
        <is>
          <t>Impact (1-5)</t>
        </is>
      </c>
      <c r="K1" s="6" t="inlineStr">
        <is>
          <t>Risk Score</t>
        </is>
      </c>
      <c r="L1" s="6" t="inlineStr">
        <is>
          <t>Recommendation</t>
        </is>
      </c>
      <c r="M1" s="6" t="inlineStr">
        <is>
          <t>Corrective Action</t>
        </is>
      </c>
      <c r="N1" s="6" t="inlineStr">
        <is>
          <t>Finding Owner</t>
        </is>
      </c>
      <c r="O1" s="6" t="inlineStr">
        <is>
          <t>Date Identified</t>
        </is>
      </c>
      <c r="P1" s="6" t="inlineStr">
        <is>
          <t>Target Date</t>
        </is>
      </c>
      <c r="Q1" s="6" t="inlineStr">
        <is>
          <t>Status</t>
        </is>
      </c>
      <c r="R1" s="6" t="inlineStr">
        <is>
          <t>Closure Evidence</t>
        </is>
      </c>
      <c r="S1" s="6" t="inlineStr">
        <is>
          <t>Reviewer / Validator</t>
        </is>
      </c>
      <c r="T1" s="6" t="inlineStr">
        <is>
          <t>Notes</t>
        </is>
      </c>
    </row>
    <row r="2">
      <c r="A2" s="7" t="inlineStr">
        <is>
          <t>AF-001</t>
        </is>
      </c>
      <c r="B2" s="8" t="inlineStr">
        <is>
          <t>Cybersecurity governance review evidence</t>
        </is>
      </c>
      <c r="C2" s="8" t="inlineStr">
        <is>
          <t>Governance</t>
        </is>
      </c>
      <c r="D2" s="8" t="inlineStr">
        <is>
          <t>Periodic management review of cybersecurity and ICT risk should be evidenced through a defined cadence, decisions, and tracked actions.</t>
        </is>
      </c>
      <c r="E2" s="8" t="inlineStr">
        <is>
          <t>Internal governance procedure; relevant NIST CSF 2.0 Govern outcomes; applicable DORA governance provisions</t>
        </is>
      </c>
      <c r="F2" s="8" t="inlineStr">
        <is>
          <t>Review cadence and evidence expectations may not be formally assigned.</t>
        </is>
      </c>
      <c r="G2" s="8" t="inlineStr">
        <is>
          <t>Management may lack timely visibility of material cybersecurity risks and overdue decisions.</t>
        </is>
      </c>
      <c r="H2" s="8" t="inlineStr">
        <is>
          <t>High</t>
        </is>
      </c>
      <c r="I2" s="8" t="n">
        <v>3</v>
      </c>
      <c r="J2" s="8" t="n">
        <v>5</v>
      </c>
      <c r="K2" s="8">
        <f>I2*J2</f>
        <v/>
      </c>
      <c r="L2" s="8" t="inlineStr">
        <is>
          <t>Establish a regular risk governance review with documented decisions and action tracking.</t>
        </is>
      </c>
      <c r="M2" s="8" t="inlineStr">
        <is>
          <t>Create a quarterly reporting pack, meeting agenda, minutes template, and action log.</t>
        </is>
      </c>
      <c r="N2" s="8" t="inlineStr">
        <is>
          <t>Risk &amp; Compliance Lead</t>
        </is>
      </c>
      <c r="O2" s="9" t="n">
        <v>46304</v>
      </c>
      <c r="P2" s="9" t="n">
        <v>46402</v>
      </c>
      <c r="Q2" s="8" t="inlineStr">
        <is>
          <t>Open</t>
        </is>
      </c>
      <c r="R2" s="8" t="inlineStr">
        <is>
          <t>Risk committee minutes; dashboard; action log</t>
        </is>
      </c>
      <c r="S2" s="8" t="inlineStr">
        <is>
          <t>GRC Reviewer</t>
        </is>
      </c>
      <c r="T2" s="8" t="inlineStr">
        <is>
          <t>Illustrative portfolio finding; validate against evidence before presenting as an actual audit finding.</t>
        </is>
      </c>
    </row>
    <row r="3">
      <c r="A3" s="10" t="inlineStr">
        <is>
          <t>AF-002</t>
        </is>
      </c>
      <c r="B3" s="3" t="inlineStr">
        <is>
          <t>Asset inventory ownership and criticality</t>
        </is>
      </c>
      <c r="C3" s="3" t="inlineStr">
        <is>
          <t>Asset Management</t>
        </is>
      </c>
      <c r="D3" s="3" t="inlineStr">
        <is>
          <t>Asset records may not consistently include an accountable owner, business criticality, lifecycle status, and service dependencies.</t>
        </is>
      </c>
      <c r="E3" s="3" t="inlineStr">
        <is>
          <t>Asset management procedure; ISO 27001 mapping; NIST CSF 2.0 ID.AM outcomes; applicable DORA Article 8 themes</t>
        </is>
      </c>
      <c r="F3" s="3" t="inlineStr">
        <is>
          <t>Inventory fields and reconciliation responsibilities may be incomplete.</t>
        </is>
      </c>
      <c r="G3" s="3" t="inlineStr">
        <is>
          <t>Incomplete asset visibility can weaken risk assessment, patch prioritization, and recovery planning.</t>
        </is>
      </c>
      <c r="H3" s="3" t="inlineStr">
        <is>
          <t>High</t>
        </is>
      </c>
      <c r="I3" s="3" t="n">
        <v>4</v>
      </c>
      <c r="J3" s="3" t="n">
        <v>4</v>
      </c>
      <c r="K3" s="3">
        <f>I3*J3</f>
        <v/>
      </c>
      <c r="L3" s="3" t="inlineStr">
        <is>
          <t>Maintain a reconciled inventory with ownership, classification, criticality, and dependencies.</t>
        </is>
      </c>
      <c r="M3" s="3" t="inlineStr">
        <is>
          <t>Review inventory fields with service owners and establish a periodic reconciliation process.</t>
        </is>
      </c>
      <c r="N3" s="3" t="inlineStr">
        <is>
          <t>IT Operations Manager</t>
        </is>
      </c>
      <c r="O3" s="11" t="n">
        <v>46304</v>
      </c>
      <c r="P3" s="11" t="n">
        <v>46376</v>
      </c>
      <c r="Q3" s="3" t="inlineStr">
        <is>
          <t>Open</t>
        </is>
      </c>
      <c r="R3" s="3" t="inlineStr">
        <is>
          <t>Updated asset inventory; reconciliation record</t>
        </is>
      </c>
      <c r="S3" s="3" t="inlineStr">
        <is>
          <t>IT Risk Reviewer</t>
        </is>
      </c>
      <c r="T3" s="3" t="inlineStr">
        <is>
          <t>Cross-reference 02-Asset-Inventory.</t>
        </is>
      </c>
    </row>
    <row r="4">
      <c r="A4" s="7" t="inlineStr">
        <is>
          <t>AF-003</t>
        </is>
      </c>
      <c r="B4" s="8" t="inlineStr">
        <is>
          <t>Risk treatment and acceptance trail</t>
        </is>
      </c>
      <c r="C4" s="8" t="inlineStr">
        <is>
          <t>Risk Management</t>
        </is>
      </c>
      <c r="D4" s="8" t="inlineStr">
        <is>
          <t>Risk treatment decisions and residual-risk approvals should be consistently documented and traceable to risk owners.</t>
        </is>
      </c>
      <c r="E4" s="8" t="inlineStr">
        <is>
          <t>Risk management methodology; risk register; applicable ISO 27001 and DORA themes</t>
        </is>
      </c>
      <c r="F4" s="8" t="inlineStr">
        <is>
          <t>Approval and evidence requirements may not be consistently defined.</t>
        </is>
      </c>
      <c r="G4" s="8" t="inlineStr">
        <is>
          <t>Risks could remain untreated without explicit, accountable acceptance.</t>
        </is>
      </c>
      <c r="H4" s="8" t="inlineStr">
        <is>
          <t>High</t>
        </is>
      </c>
      <c r="I4" s="8" t="n">
        <v>4</v>
      </c>
      <c r="J4" s="8" t="n">
        <v>5</v>
      </c>
      <c r="K4" s="8">
        <f>I4*J4</f>
        <v/>
      </c>
      <c r="L4" s="8" t="inlineStr">
        <is>
          <t>Record treatment decisions, accountable owners, due dates, residual risk, and approvals.</t>
        </is>
      </c>
      <c r="M4" s="8" t="inlineStr">
        <is>
          <t>Update the risk register and establish a documented risk acceptance workflow.</t>
        </is>
      </c>
      <c r="N4" s="8" t="inlineStr">
        <is>
          <t>ICT Risk Manager</t>
        </is>
      </c>
      <c r="O4" s="9" t="n">
        <v>46304</v>
      </c>
      <c r="P4" s="9" t="n">
        <v>46378</v>
      </c>
      <c r="Q4" s="8" t="inlineStr">
        <is>
          <t>Open</t>
        </is>
      </c>
      <c r="R4" s="8" t="inlineStr">
        <is>
          <t>Updated risk register; treatment plan; approvals</t>
        </is>
      </c>
      <c r="S4" s="8" t="inlineStr">
        <is>
          <t>GRC Reviewer</t>
        </is>
      </c>
      <c r="T4" s="8" t="inlineStr">
        <is>
          <t>Cross-reference 03-Risk-Assessment.</t>
        </is>
      </c>
    </row>
    <row r="5">
      <c r="A5" s="10" t="inlineStr">
        <is>
          <t>AF-004</t>
        </is>
      </c>
      <c r="B5" s="3" t="inlineStr">
        <is>
          <t>Privileged access and MFA verification</t>
        </is>
      </c>
      <c r="C5" s="3" t="inlineStr">
        <is>
          <t>Identity &amp; Access</t>
        </is>
      </c>
      <c r="D5" s="3" t="inlineStr">
        <is>
          <t>Evidence is needed to demonstrate MFA coverage for privileged/remote access and periodic review of access rights.</t>
        </is>
      </c>
      <c r="E5" s="3" t="inlineStr">
        <is>
          <t>Access control policy; ISO 27001 mapping; NIST CSF 2.0 PR.AA outcomes</t>
        </is>
      </c>
      <c r="F5" s="3" t="inlineStr">
        <is>
          <t>Access review cadence and evidence collection may not be assigned to a specific role.</t>
        </is>
      </c>
      <c r="G5" s="3" t="inlineStr">
        <is>
          <t>Unauthorized or excessive access may increase risk of account compromise and misuse.</t>
        </is>
      </c>
      <c r="H5" s="3" t="inlineStr">
        <is>
          <t>Critical</t>
        </is>
      </c>
      <c r="I5" s="3" t="n">
        <v>4</v>
      </c>
      <c r="J5" s="3" t="n">
        <v>5</v>
      </c>
      <c r="K5" s="3">
        <f>I5*J5</f>
        <v/>
      </c>
      <c r="L5" s="3" t="inlineStr">
        <is>
          <t>Verify MFA coverage and establish regular access reviews with documented exception approval.</t>
        </is>
      </c>
      <c r="M5" s="3" t="inlineStr">
        <is>
          <t>Generate coverage report, review privileged groups, resolve excess access, and track exceptions.</t>
        </is>
      </c>
      <c r="N5" s="3" t="inlineStr">
        <is>
          <t>IAM Administrator</t>
        </is>
      </c>
      <c r="O5" s="11" t="n">
        <v>46304</v>
      </c>
      <c r="P5" s="11" t="n">
        <v>46399</v>
      </c>
      <c r="Q5" s="3" t="inlineStr">
        <is>
          <t>Open</t>
        </is>
      </c>
      <c r="R5" s="3" t="inlineStr">
        <is>
          <t>MFA coverage report; access review sign-off; exception log</t>
        </is>
      </c>
      <c r="S5" s="3" t="inlineStr">
        <is>
          <t>Security Reviewer</t>
        </is>
      </c>
      <c r="T5" s="3" t="inlineStr">
        <is>
          <t>Illustrative priority; validate with actual configuration evidence.</t>
        </is>
      </c>
    </row>
    <row r="6">
      <c r="A6" s="7" t="inlineStr">
        <is>
          <t>AF-005</t>
        </is>
      </c>
      <c r="B6" s="8" t="inlineStr">
        <is>
          <t>Vulnerability and patch remediation tracking</t>
        </is>
      </c>
      <c r="C6" s="8" t="inlineStr">
        <is>
          <t>Vulnerability Management</t>
        </is>
      </c>
      <c r="D6" s="8" t="inlineStr">
        <is>
          <t>A consistent process should track vulnerability findings, risk-based remediation deadlines, exceptions, and closure evidence.</t>
        </is>
      </c>
      <c r="E6" s="8" t="inlineStr">
        <is>
          <t>Vulnerability management standard; NIST CSF 2.0 ID.RA / PR.PS themes; applicable DORA themes</t>
        </is>
      </c>
      <c r="F6" s="8" t="inlineStr">
        <is>
          <t>Patch timelines and exception handling may not be uniformly defined.</t>
        </is>
      </c>
      <c r="G6" s="8" t="inlineStr">
        <is>
          <t>Known vulnerabilities may remain exposed beyond acceptable risk tolerances.</t>
        </is>
      </c>
      <c r="H6" s="8" t="inlineStr">
        <is>
          <t>High</t>
        </is>
      </c>
      <c r="I6" s="8" t="n">
        <v>4</v>
      </c>
      <c r="J6" s="8" t="n">
        <v>4</v>
      </c>
      <c r="K6" s="8">
        <f>I6*J6</f>
        <v/>
      </c>
      <c r="L6" s="8" t="inlineStr">
        <is>
          <t>Define remediation timelines by severity and monitor overdue findings and approved exceptions.</t>
        </is>
      </c>
      <c r="M6" s="8" t="inlineStr">
        <is>
          <t>Create a remediation tracker linked to authorized scan results and change records.</t>
        </is>
      </c>
      <c r="N6" s="8" t="inlineStr">
        <is>
          <t>Security Engineer</t>
        </is>
      </c>
      <c r="O6" s="9" t="n">
        <v>46304</v>
      </c>
      <c r="P6" s="9" t="n">
        <v>46412</v>
      </c>
      <c r="Q6" s="8" t="inlineStr">
        <is>
          <t>Open</t>
        </is>
      </c>
      <c r="R6" s="8" t="inlineStr">
        <is>
          <t>Scan reports; patch report; tickets; exception approvals</t>
        </is>
      </c>
      <c r="S6" s="8" t="inlineStr">
        <is>
          <t>Security Reviewer</t>
        </is>
      </c>
      <c r="T6" s="8" t="inlineStr">
        <is>
          <t>Use authorized testing and fictional/sample evidence in a public portfolio.</t>
        </is>
      </c>
    </row>
    <row r="7">
      <c r="A7" s="10" t="inlineStr">
        <is>
          <t>AF-006</t>
        </is>
      </c>
      <c r="B7" s="3" t="inlineStr">
        <is>
          <t>Incident response exercise and reporting workflow</t>
        </is>
      </c>
      <c r="C7" s="3" t="inlineStr">
        <is>
          <t>Incident Management</t>
        </is>
      </c>
      <c r="D7" s="3" t="inlineStr">
        <is>
          <t>Incident roles, classification, escalation, exercise evidence, and applicable reporting decision criteria should be documented.</t>
        </is>
      </c>
      <c r="E7" s="3" t="inlineStr">
        <is>
          <t>Incident response procedure; NIST CSF 2.0 Respond outcomes; DORA incident-related provisions as applicable</t>
        </is>
      </c>
      <c r="F7" s="3" t="inlineStr">
        <is>
          <t>Exercise schedule and reporting responsibilities may not be clearly allocated.</t>
        </is>
      </c>
      <c r="G7" s="3" t="inlineStr">
        <is>
          <t>Delayed escalation or inconsistent handling could increase incident impact and reporting risk.</t>
        </is>
      </c>
      <c r="H7" s="3" t="inlineStr">
        <is>
          <t>High</t>
        </is>
      </c>
      <c r="I7" s="3" t="n">
        <v>3</v>
      </c>
      <c r="J7" s="3" t="n">
        <v>5</v>
      </c>
      <c r="K7" s="3">
        <f>I7*J7</f>
        <v/>
      </c>
      <c r="L7" s="3" t="inlineStr">
        <is>
          <t>Approve incident response procedures and test them through a tabletop exercise.</t>
        </is>
      </c>
      <c r="M7" s="3" t="inlineStr">
        <is>
          <t>Create severity matrix, reporting decision flow, contact-role list, and exercise action log.</t>
        </is>
      </c>
      <c r="N7" s="3" t="inlineStr">
        <is>
          <t>Incident Response Lead / Compliance Officer</t>
        </is>
      </c>
      <c r="O7" s="11" t="n">
        <v>46304</v>
      </c>
      <c r="P7" s="11" t="n">
        <v>46412</v>
      </c>
      <c r="Q7" s="3" t="inlineStr">
        <is>
          <t>Open</t>
        </is>
      </c>
      <c r="R7" s="3" t="inlineStr">
        <is>
          <t>Approved procedure; tabletop report; action log</t>
        </is>
      </c>
      <c r="S7" s="3" t="inlineStr">
        <is>
          <t>GRC Reviewer</t>
        </is>
      </c>
      <c r="T7" s="3" t="inlineStr">
        <is>
          <t>Validate regulatory applicability and reporting deadlines against current official requirements.</t>
        </is>
      </c>
    </row>
    <row r="8">
      <c r="A8" s="7" t="inlineStr">
        <is>
          <t>AF-007</t>
        </is>
      </c>
      <c r="B8" s="8" t="inlineStr">
        <is>
          <t>Backup restoration and recovery test evidence</t>
        </is>
      </c>
      <c r="C8" s="8" t="inlineStr">
        <is>
          <t>Business Continuity &amp; Recovery</t>
        </is>
      </c>
      <c r="D8" s="8" t="inlineStr">
        <is>
          <t>Recovery plans should identify priorities and objectives, and backup restoration should be tested with results and follow-up actions recorded.</t>
        </is>
      </c>
      <c r="E8" s="8" t="inlineStr">
        <is>
          <t>BCP/DR procedures; NIST CSF 2.0 Recover outcomes; applicable DORA Article 11/12 themes</t>
        </is>
      </c>
      <c r="F8" s="8" t="inlineStr">
        <is>
          <t>Testing ownership and evidence retention may not be defined.</t>
        </is>
      </c>
      <c r="G8" s="8" t="inlineStr">
        <is>
          <t>Failure to restore systems within expected times could disrupt critical services.</t>
        </is>
      </c>
      <c r="H8" s="8" t="inlineStr">
        <is>
          <t>High</t>
        </is>
      </c>
      <c r="I8" s="8" t="n">
        <v>3</v>
      </c>
      <c r="J8" s="8" t="n">
        <v>5</v>
      </c>
      <c r="K8" s="8">
        <f>I8*J8</f>
        <v/>
      </c>
      <c r="L8" s="8" t="inlineStr">
        <is>
          <t>Define recovery objectives for critical services and conduct documented restoration tests.</t>
        </is>
      </c>
      <c r="M8" s="8" t="inlineStr">
        <is>
          <t>Schedule restore tests, record actual results against objectives, and track corrective actions.</t>
        </is>
      </c>
      <c r="N8" s="8" t="inlineStr">
        <is>
          <t>Business Continuity Manager</t>
        </is>
      </c>
      <c r="O8" s="9" t="n">
        <v>46304</v>
      </c>
      <c r="P8" s="9" t="n">
        <v>46433</v>
      </c>
      <c r="Q8" s="8" t="inlineStr">
        <is>
          <t>Open</t>
        </is>
      </c>
      <c r="R8" s="8" t="inlineStr">
        <is>
          <t>Recovery plan; restore-test report; remediation evidence</t>
        </is>
      </c>
      <c r="S8" s="8" t="inlineStr">
        <is>
          <t>Business Continuity Reviewer</t>
        </is>
      </c>
      <c r="T8" s="8" t="inlineStr">
        <is>
          <t>Cross-reference planned BCP/DR portfolio stage.</t>
        </is>
      </c>
    </row>
    <row r="9">
      <c r="A9" s="10" t="inlineStr">
        <is>
          <t>AF-008</t>
        </is>
      </c>
      <c r="B9" s="3" t="inlineStr">
        <is>
          <t>ICT supplier due diligence and exit planning</t>
        </is>
      </c>
      <c r="C9" s="3" t="inlineStr">
        <is>
          <t>Third-Party ICT Risk</t>
        </is>
      </c>
      <c r="D9" s="3" t="inlineStr">
        <is>
          <t>Supplier criticality, due diligence, periodic review, contractual protections, and exit planning should be evidenced for relevant ICT suppliers.</t>
        </is>
      </c>
      <c r="E9" s="3" t="inlineStr">
        <is>
          <t>Supplier risk procedure; NIST CSF 2.0 GV.SC themes; applicable DORA Articles 28 and 30 themes</t>
        </is>
      </c>
      <c r="F9" s="3" t="inlineStr">
        <is>
          <t>Supplier tiering and reassessment requirements may not be fully operationalized.</t>
        </is>
      </c>
      <c r="G9" s="3" t="inlineStr">
        <is>
          <t>Supplier failure or concentration risk could affect service continuity and control effectiveness.</t>
        </is>
      </c>
      <c r="H9" s="3" t="inlineStr">
        <is>
          <t>High</t>
        </is>
      </c>
      <c r="I9" s="3" t="n">
        <v>4</v>
      </c>
      <c r="J9" s="3" t="n">
        <v>5</v>
      </c>
      <c r="K9" s="3">
        <f>I9*J9</f>
        <v/>
      </c>
      <c r="L9" s="3" t="inlineStr">
        <is>
          <t>Use risk-tiered due diligence and monitoring; document relevant contractual and exit arrangements.</t>
        </is>
      </c>
      <c r="M9" s="3" t="inlineStr">
        <is>
          <t>Create supplier inventory, review critical supplier files, and track gaps to closure.</t>
        </is>
      </c>
      <c r="N9" s="3" t="inlineStr">
        <is>
          <t>Third-Party Risk Manager</t>
        </is>
      </c>
      <c r="O9" s="11" t="n">
        <v>46304</v>
      </c>
      <c r="P9" s="11" t="n">
        <v>46428</v>
      </c>
      <c r="Q9" s="3" t="inlineStr">
        <is>
          <t>Open</t>
        </is>
      </c>
      <c r="R9" s="3" t="inlineStr">
        <is>
          <t>Supplier register; due diligence; contract review; exit plan</t>
        </is>
      </c>
      <c r="S9" s="3" t="inlineStr">
        <is>
          <t>Third-Party Risk Reviewer</t>
        </is>
      </c>
      <c r="T9" s="3" t="inlineStr">
        <is>
          <t>Legal and contract-specific requirements need validation.</t>
        </is>
      </c>
    </row>
    <row r="10">
      <c r="A10" s="7" t="inlineStr">
        <is>
          <t>AF-009</t>
        </is>
      </c>
      <c r="B10" s="8" t="inlineStr">
        <is>
          <t>Framework mapping traceability and validation</t>
        </is>
      </c>
      <c r="C10" s="8" t="inlineStr">
        <is>
          <t>GRC / Compliance</t>
        </is>
      </c>
      <c r="D10" s="8" t="inlineStr">
        <is>
          <t>Control mappings should retain traceability from internal control IDs to framework references, evidence, applicability, and approved exceptions.</t>
        </is>
      </c>
      <c r="E10" s="8" t="inlineStr">
        <is>
          <t>ISO 27001 mapping; NIST CSF 2.0 mapping; DORA mapping; internal GRC method</t>
        </is>
      </c>
      <c r="F10" s="8" t="inlineStr">
        <is>
          <t>Mapping review and approval process may not be defined.</t>
        </is>
      </c>
      <c r="G10" s="8" t="inlineStr">
        <is>
          <t>Unvalidated mappings may create inaccurate compliance claims or missed obligations.</t>
        </is>
      </c>
      <c r="H10" s="8" t="inlineStr">
        <is>
          <t>Medium</t>
        </is>
      </c>
      <c r="I10" s="8" t="n">
        <v>3</v>
      </c>
      <c r="J10" s="8" t="n">
        <v>4</v>
      </c>
      <c r="K10" s="8">
        <f>I10*J10</f>
        <v/>
      </c>
      <c r="L10" s="8" t="inlineStr">
        <is>
          <t>Review mappings for accuracy, applicability, and evidence; record reviewer and date.</t>
        </is>
      </c>
      <c r="M10" s="8" t="inlineStr">
        <is>
          <t>Add validation fields and conduct a documented review of each framework mapping.</t>
        </is>
      </c>
      <c r="N10" s="8" t="inlineStr">
        <is>
          <t>GRC Analyst</t>
        </is>
      </c>
      <c r="O10" s="9" t="n">
        <v>46304</v>
      </c>
      <c r="P10" s="9" t="n">
        <v>46446</v>
      </c>
      <c r="Q10" s="8" t="inlineStr">
        <is>
          <t>Open</t>
        </is>
      </c>
      <c r="R10" s="8" t="inlineStr">
        <is>
          <t>Reviewed mappings; validation log; evidence index</t>
        </is>
      </c>
      <c r="S10" s="8" t="inlineStr">
        <is>
          <t>GRC Lead</t>
        </is>
      </c>
      <c r="T10" s="8" t="inlineStr">
        <is>
          <t>Mapping is not equivalent to certification or legal compliance.</t>
        </is>
      </c>
    </row>
    <row r="11">
      <c r="A11" s="10" t="inlineStr">
        <is>
          <t>AF-010</t>
        </is>
      </c>
      <c r="B11" s="3" t="inlineStr">
        <is>
          <t>Central remediation tracking and closure review</t>
        </is>
      </c>
      <c r="C11" s="3" t="inlineStr">
        <is>
          <t>Assurance &amp; Improvement</t>
        </is>
      </c>
      <c r="D11" s="3" t="inlineStr">
        <is>
          <t>Findings and corrective actions should be maintained in a single tracker with accountable owners, due dates, and independent closure review.</t>
        </is>
      </c>
      <c r="E11" s="3" t="inlineStr">
        <is>
          <t>GRC gap assessment; internal audit procedure; applicable framework improvement outcomes</t>
        </is>
      </c>
      <c r="F11" s="3" t="inlineStr">
        <is>
          <t>Closure criteria and reviewer independence may not be explicitly established.</t>
        </is>
      </c>
      <c r="G11" s="3" t="inlineStr">
        <is>
          <t>Actions may be overdue or marked closed without sufficient evidence of effectiveness.</t>
        </is>
      </c>
      <c r="H11" s="3" t="inlineStr">
        <is>
          <t>Medium</t>
        </is>
      </c>
      <c r="I11" s="3" t="n">
        <v>3</v>
      </c>
      <c r="J11" s="3" t="n">
        <v>4</v>
      </c>
      <c r="K11" s="3">
        <f>I11*J11</f>
        <v/>
      </c>
      <c r="L11" s="3" t="inlineStr">
        <is>
          <t>Create a central action tracker and require evidence review before closure.</t>
        </is>
      </c>
      <c r="M11" s="3" t="inlineStr">
        <is>
          <t>Assign action owners, escalation rules, status updates, and closure validation responsibilities.</t>
        </is>
      </c>
      <c r="N11" s="3" t="inlineStr">
        <is>
          <t>GRC Analyst / Internal Audit</t>
        </is>
      </c>
      <c r="O11" s="11" t="n">
        <v>46304</v>
      </c>
      <c r="P11" s="11" t="n">
        <v>46446</v>
      </c>
      <c r="Q11" s="3" t="inlineStr">
        <is>
          <t>Open</t>
        </is>
      </c>
      <c r="R11" s="3" t="inlineStr">
        <is>
          <t>Remediation tracker; closure evidence; reviewer sign-off</t>
        </is>
      </c>
      <c r="S11" s="3" t="inlineStr">
        <is>
          <t>GRC Lead</t>
        </is>
      </c>
      <c r="T11" s="3" t="inlineStr">
        <is>
          <t>Use this register with the GRC-Gap-Assessment workbook.</t>
        </is>
      </c>
    </row>
  </sheetData>
  <conditionalFormatting sqref="H2:H11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Q2:Q11">
    <cfRule type="cellIs" priority="5" operator="equal" dxfId="0">
      <formula>"Open"</formula>
    </cfRule>
    <cfRule type="cellIs" priority="6" operator="equal" dxfId="4">
      <formula>"In Progress"</formula>
    </cfRule>
    <cfRule type="cellIs" priority="7" operator="equal" dxfId="1">
      <formula>"Blocked"</formula>
    </cfRule>
    <cfRule type="cellIs" priority="8" operator="equal" dxfId="5">
      <formula>"Ready for Review"</formula>
    </cfRule>
    <cfRule type="cellIs" priority="9" operator="equal" dxfId="6">
      <formula>"Closed"</formula>
    </cfRule>
    <cfRule type="cellIs" priority="10" operator="equal" dxfId="7">
      <formula>"Accepted Risk"</formula>
    </cfRule>
  </conditionalFormatting>
  <dataValidations count="3">
    <dataValidation sqref="Q2:Q11" showDropDown="0" showInputMessage="0" showErrorMessage="0" allowBlank="1" type="list">
      <formula1>"Open,In Progress,Blocked,Ready for Review,Closed,Accepted Risk"</formula1>
    </dataValidation>
    <dataValidation sqref="H2:H11" showDropDown="0" showInputMessage="0" showErrorMessage="0" allowBlank="1" type="list">
      <formula1>"Critical,High,Medium,Low"</formula1>
    </dataValidation>
    <dataValidation sqref="I2:J11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2026-10-09T19:06:56Z</dcterms:created>
  <dcterms:modified xmlns:dcterms="http://purl.org/dc/terms/" xmlns:xsi="http://www.w3.org/2001/XMLSchema-instance" xsi:type="dcterms:W3CDTF">2026-10-09T19:06:56Z</dcterms:modified>
</cp:coreProperties>
</file>