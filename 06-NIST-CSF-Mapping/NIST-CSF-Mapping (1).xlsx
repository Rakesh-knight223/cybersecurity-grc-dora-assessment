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IST CSF Mapping" sheetId="3" state="visible" r:id="rId3"/>
  </sheets>
  <definedNames>
    <definedName name="_xlnm._FilterDatabase" localSheetId="2" hidden="1">'NIST CSF Mapping'!$A$1:$O$25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</font>
    <font>
      <b val="1"/>
    </font>
    <font>
      <b val="1"/>
      <color rgb="00FFFFFF"/>
      <sz val="18"/>
    </font>
    <font>
      <b val="1"/>
      <color rgb="00FFFFFF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9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6DE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2" borderId="0" pivotButton="0" quotePrefix="0" xfId="0"/>
    <xf numFmtId="0" fontId="2" fillId="4" borderId="2" pivotButton="0" quotePrefix="0" xfId="0"/>
    <xf numFmtId="0" fontId="0" fillId="0" borderId="2" applyAlignment="1" pivotButton="0" quotePrefix="0" xfId="0">
      <alignment vertical="top" wrapText="1"/>
    </xf>
    <xf numFmtId="0" fontId="0" fillId="0" borderId="2" pivotButton="0" quotePrefix="0" xfId="0"/>
    <xf numFmtId="0" fontId="5" fillId="2" borderId="0" pivotButton="0" quotePrefix="0" xfId="0"/>
    <xf numFmtId="0" fontId="6" fillId="5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165" fontId="0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9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C00000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NISTCSFMappingTable" displayName="NISTCSFMappingTable" ref="A1:O25" headerRowCount="1">
  <autoFilter ref="A1:O25"/>
  <tableColumns count="15">
    <tableColumn id="1" name="Control ID"/>
    <tableColumn id="2" name="Internal Security Control"/>
    <tableColumn id="3" name="NIST CSF 2.0 Function"/>
    <tableColumn id="4" name="Category ID"/>
    <tableColumn id="5" name="Category Name"/>
    <tableColumn id="6" name="Illustrative Subcategory Reference"/>
    <tableColumn id="7" name="Mapping Rationale"/>
    <tableColumn id="8" name="Implementation Status"/>
    <tableColumn id="9" name="Gap / Observation"/>
    <tableColumn id="10" name="Recommended Action"/>
    <tableColumn id="11" name="Evidence to Collect"/>
    <tableColumn id="12" name="Control Owner"/>
    <tableColumn id="13" name="Priority"/>
    <tableColumn id="14" name="Target Date"/>
    <tableColumn id="15" name="Assessment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4" customHeight="1">
      <c r="A1" s="1" t="inlineStr">
        <is>
          <t>BalticTrust Bank — NIST CSF 2.0 Control Mapping</t>
        </is>
      </c>
    </row>
    <row r="3" ht="30" customHeight="1">
      <c r="A3" s="2" t="inlineStr">
        <is>
          <t>Purpose</t>
        </is>
      </c>
      <c r="B3" s="3" t="inlineStr">
        <is>
          <t>Illustrative mapping of internal security controls for the fictional BalticTrust Bank cybersecurity GRC portfolio.</t>
        </is>
      </c>
      <c r="C3" s="4" t="n"/>
      <c r="D3" s="4" t="n"/>
      <c r="E3" s="4" t="n"/>
      <c r="F3" s="4" t="n"/>
    </row>
    <row r="4" ht="42" customHeight="1">
      <c r="A4" s="2" t="inlineStr">
        <is>
          <t>Framework</t>
        </is>
      </c>
      <c r="B4" s="3" t="inlineStr">
        <is>
          <t>NIST Cybersecurity Framework (CSF) 2.0. The Core is organized into six Functions: Govern, Identify, Protect, Detect, Respond, and Recover.</t>
        </is>
      </c>
      <c r="C4" s="4" t="n"/>
      <c r="D4" s="4" t="n"/>
      <c r="E4" s="4" t="n"/>
      <c r="F4" s="4" t="n"/>
    </row>
    <row r="5" ht="42" customHeight="1">
      <c r="A5" s="2" t="inlineStr">
        <is>
          <t>Workbook contents</t>
        </is>
      </c>
      <c r="B5" s="3" t="inlineStr">
        <is>
          <t>The NIST CSF Mapping sheet includes example internal controls, category/subcategory references, mapping rationale, fictional status, gaps, actions, evidence suggestions, owners, priorities, and target dates.</t>
        </is>
      </c>
      <c r="C5" s="4" t="n"/>
      <c r="D5" s="4" t="n"/>
      <c r="E5" s="4" t="n"/>
      <c r="F5" s="4" t="n"/>
    </row>
    <row r="6" ht="42" customHeight="1">
      <c r="A6" s="2" t="inlineStr">
        <is>
          <t>How to use</t>
        </is>
      </c>
      <c r="B6" s="3" t="inlineStr">
        <is>
          <t>Review each row. Confirm that the mapping fits the actual control objective. Update implementation status only when evidence supports it. Replace placeholder owners and dates with project-specific choices.</t>
        </is>
      </c>
      <c r="C6" s="4" t="n"/>
      <c r="D6" s="4" t="n"/>
      <c r="E6" s="4" t="n"/>
      <c r="F6" s="4" t="n"/>
    </row>
    <row r="7" ht="42" customHeight="1">
      <c r="A7" s="2" t="inlineStr">
        <is>
          <t>Status definitions</t>
        </is>
      </c>
      <c r="B7" s="3" t="inlineStr">
        <is>
          <t>Implemented = evidence supports implementation; Partial = some elements exist but gaps remain; Planned = work is proposed/not yet evidenced; Not Implemented = assessed and absent; Not Assessed = not yet reviewed.</t>
        </is>
      </c>
      <c r="C7" s="4" t="n"/>
      <c r="D7" s="4" t="n"/>
      <c r="E7" s="4" t="n"/>
      <c r="F7" s="4" t="n"/>
    </row>
    <row r="8" ht="42" customHeight="1">
      <c r="A8" s="2" t="inlineStr">
        <is>
          <t>Important limitation</t>
        </is>
      </c>
      <c r="B8" s="3" t="inlineStr">
        <is>
          <t>This is an educational portfolio example, not a formal audit, certification, legal opinion, or proof of compliance. BalticTrust Bank is fictional. The initial statuses, gaps, owners, dates, and evidence are illustrative assumptions.</t>
        </is>
      </c>
      <c r="C8" s="4" t="n"/>
      <c r="D8" s="4" t="n"/>
      <c r="E8" s="4" t="n"/>
      <c r="F8" s="4" t="n"/>
    </row>
    <row r="9" ht="42" customHeight="1">
      <c r="A9" s="2" t="inlineStr">
        <is>
          <t>Reference validation</t>
        </is>
      </c>
      <c r="B9" s="3" t="inlineStr">
        <is>
          <t>Validate exact subcategory references and outcome wording against the official NIST CSF 2.0 Core before presenting the workbook as a final mapping. NIST notes that CSF outcomes are flexible and organization-specific.</t>
        </is>
      </c>
      <c r="C9" s="4" t="n"/>
      <c r="D9" s="4" t="n"/>
      <c r="E9" s="4" t="n"/>
      <c r="F9" s="4" t="n"/>
    </row>
    <row r="10" ht="30" customHeight="1">
      <c r="A10" s="2" t="inlineStr">
        <is>
          <t>Official NIST CSF 2.0</t>
        </is>
      </c>
      <c r="B10" s="3" t="inlineStr">
        <is>
          <t>https://www.nist.gov/cyberframework</t>
        </is>
      </c>
      <c r="C10" s="4" t="n"/>
      <c r="D10" s="4" t="n"/>
      <c r="E10" s="4" t="n"/>
      <c r="F10" s="4" t="n"/>
    </row>
    <row r="11" ht="30" customHeight="1">
      <c r="A11" s="2" t="inlineStr">
        <is>
          <t>NIST CSF Reference Tool</t>
        </is>
      </c>
      <c r="B11" s="3" t="inlineStr">
        <is>
          <t>https://csrc.nist.gov/Projects/cybersecurity-framework/Filters#/csf/filters</t>
        </is>
      </c>
      <c r="C11" s="4" t="n"/>
      <c r="D11" s="4" t="n"/>
      <c r="E11" s="4" t="n"/>
      <c r="F11" s="4" t="n"/>
    </row>
    <row r="12" ht="42" customHeight="1">
      <c r="A12" s="2" t="inlineStr">
        <is>
          <t>Recommended next step</t>
        </is>
      </c>
      <c r="B12" s="3" t="inlineStr">
        <is>
          <t>Use this mapping alongside the existing asset inventory, risk register, security control catalogue, and ISO 27001 mapping. Keep traceability between internal control IDs and evidence.</t>
        </is>
      </c>
      <c r="C12" s="4" t="n"/>
      <c r="D12" s="4" t="n"/>
      <c r="E12" s="4" t="n"/>
      <c r="F12" s="4" t="n"/>
    </row>
  </sheetData>
  <mergeCells count="11">
    <mergeCell ref="B4:F4"/>
    <mergeCell ref="B12:F12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2" customWidth="1" min="3" max="3"/>
    <col width="5" customWidth="1" min="4" max="4"/>
  </cols>
  <sheetData>
    <row r="1">
      <c r="A1" s="5" t="inlineStr">
        <is>
          <t>NIST CSF 2.0 Mapping — Summary</t>
        </is>
      </c>
    </row>
    <row r="2">
      <c r="A2" s="6" t="inlineStr">
        <is>
          <t>Metric</t>
        </is>
      </c>
      <c r="B2" s="7" t="inlineStr">
        <is>
          <t>Value</t>
        </is>
      </c>
      <c r="C2" s="7" t="inlineStr">
        <is>
          <t>Notes</t>
        </is>
      </c>
      <c r="D2" s="7" t="inlineStr"/>
    </row>
    <row r="3">
      <c r="A3" s="3" t="inlineStr">
        <is>
          <t>Total mapped controls</t>
        </is>
      </c>
      <c r="B3" s="3">
        <f>COUNTA('NIST CSF Mapping'!A2:A25)</f>
        <v/>
      </c>
      <c r="C3" s="3" t="inlineStr">
        <is>
          <t>Illustrative internal control mappings</t>
        </is>
      </c>
      <c r="D3" t="inlineStr"/>
    </row>
    <row r="4">
      <c r="A4" s="3" t="inlineStr">
        <is>
          <t>Implemented</t>
        </is>
      </c>
      <c r="B4" s="3">
        <f>COUNTIF('NIST CSF Mapping'!H2:H25,"Implemented")</f>
        <v/>
      </c>
      <c r="C4" s="3" t="inlineStr">
        <is>
          <t>Status must be supported by evidence</t>
        </is>
      </c>
      <c r="D4" t="inlineStr"/>
    </row>
    <row r="5">
      <c r="A5" s="3" t="inlineStr">
        <is>
          <t>Partial</t>
        </is>
      </c>
      <c r="B5" s="3">
        <f>COUNTIF('NIST CSF Mapping'!H2:H25,"Partial")</f>
        <v/>
      </c>
      <c r="C5" s="3" t="inlineStr">
        <is>
          <t>Fictional initial assessment</t>
        </is>
      </c>
      <c r="D5" t="inlineStr"/>
    </row>
    <row r="6">
      <c r="A6" s="3" t="inlineStr">
        <is>
          <t>Planned</t>
        </is>
      </c>
      <c r="B6" s="3">
        <f>COUNTIF('NIST CSF Mapping'!H2:H25,"Planned")</f>
        <v/>
      </c>
      <c r="C6" s="3" t="inlineStr">
        <is>
          <t>Work proposed / not yet evidenced</t>
        </is>
      </c>
      <c r="D6" t="inlineStr"/>
    </row>
    <row r="7">
      <c r="A7" s="3" t="inlineStr">
        <is>
          <t>Not Implemented</t>
        </is>
      </c>
      <c r="B7" s="3">
        <f>COUNTIF('NIST CSF Mapping'!H2:H25,"Not Implemented")</f>
        <v/>
      </c>
      <c r="C7" s="3" t="inlineStr">
        <is>
          <t>Assessed and absent</t>
        </is>
      </c>
      <c r="D7" t="inlineStr"/>
    </row>
    <row r="8">
      <c r="A8" s="3" t="inlineStr">
        <is>
          <t>Not Assessed</t>
        </is>
      </c>
      <c r="B8" s="3">
        <f>COUNTIF('NIST CSF Mapping'!H2:H25,"Not Assessed")</f>
        <v/>
      </c>
      <c r="C8" s="3" t="inlineStr">
        <is>
          <t>Pending review</t>
        </is>
      </c>
      <c r="D8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6" customWidth="1" min="3" max="3"/>
    <col width="14" customWidth="1" min="4" max="4"/>
    <col width="39" customWidth="1" min="5" max="5"/>
    <col width="28" customWidth="1" min="6" max="6"/>
    <col width="55" customWidth="1" min="7" max="7"/>
    <col width="20" customWidth="1" min="8" max="8"/>
    <col width="48" customWidth="1" min="9" max="9"/>
    <col width="55" customWidth="1" min="10" max="10"/>
    <col width="42" customWidth="1" min="11" max="11"/>
    <col width="27" customWidth="1" min="12" max="12"/>
    <col width="13" customWidth="1" min="13" max="13"/>
    <col width="16" customWidth="1" min="14" max="14"/>
    <col width="52" customWidth="1" min="15" max="15"/>
  </cols>
  <sheetData>
    <row r="1" ht="44" customHeight="1">
      <c r="A1" s="8" t="inlineStr">
        <is>
          <t>Control ID</t>
        </is>
      </c>
      <c r="B1" s="8" t="inlineStr">
        <is>
          <t>Internal Security Control</t>
        </is>
      </c>
      <c r="C1" s="8" t="inlineStr">
        <is>
          <t>NIST CSF 2.0 Function</t>
        </is>
      </c>
      <c r="D1" s="8" t="inlineStr">
        <is>
          <t>Category ID</t>
        </is>
      </c>
      <c r="E1" s="8" t="inlineStr">
        <is>
          <t>Category Name</t>
        </is>
      </c>
      <c r="F1" s="8" t="inlineStr">
        <is>
          <t>Illustrative Subcategory Reference</t>
        </is>
      </c>
      <c r="G1" s="8" t="inlineStr">
        <is>
          <t>Mapping Rationale</t>
        </is>
      </c>
      <c r="H1" s="8" t="inlineStr">
        <is>
          <t>Implementation Status</t>
        </is>
      </c>
      <c r="I1" s="8" t="inlineStr">
        <is>
          <t>Gap / Observation</t>
        </is>
      </c>
      <c r="J1" s="8" t="inlineStr">
        <is>
          <t>Recommended Action</t>
        </is>
      </c>
      <c r="K1" s="8" t="inlineStr">
        <is>
          <t>Evidence to Collect</t>
        </is>
      </c>
      <c r="L1" s="8" t="inlineStr">
        <is>
          <t>Control Owner</t>
        </is>
      </c>
      <c r="M1" s="8" t="inlineStr">
        <is>
          <t>Priority</t>
        </is>
      </c>
      <c r="N1" s="8" t="inlineStr">
        <is>
          <t>Target Date</t>
        </is>
      </c>
      <c r="O1" s="8" t="inlineStr">
        <is>
          <t>Assessment Notes</t>
        </is>
      </c>
    </row>
    <row r="2">
      <c r="A2" s="9" t="inlineStr">
        <is>
          <t>BT-GOV-01</t>
        </is>
      </c>
      <c r="B2" s="10" t="inlineStr">
        <is>
          <t>Cybersecurity governance and risk oversight</t>
        </is>
      </c>
      <c r="C2" s="10" t="inlineStr">
        <is>
          <t>Govern</t>
        </is>
      </c>
      <c r="D2" s="10" t="inlineStr">
        <is>
          <t>GV.OV</t>
        </is>
      </c>
      <c r="E2" s="10" t="inlineStr">
        <is>
          <t>Oversight</t>
        </is>
      </c>
      <c r="F2" s="10" t="inlineStr">
        <is>
          <t>GV.OV-01</t>
        </is>
      </c>
      <c r="G2" s="10" t="inlineStr">
        <is>
          <t>Governance oversight supports review of cybersecurity risk management results and progress against objectives.</t>
        </is>
      </c>
      <c r="H2" s="11" t="inlineStr">
        <is>
          <t>Partial</t>
        </is>
      </c>
      <c r="I2" s="10" t="inlineStr">
        <is>
          <t>Formal periodic review evidence has not yet been demonstrated in this fictional assessment.</t>
        </is>
      </c>
      <c r="J2" s="10" t="inlineStr">
        <is>
          <t>Define a quarterly cybersecurity risk review with minutes, decisions, action owners, and follow-up tracking.</t>
        </is>
      </c>
      <c r="K2" s="10" t="inlineStr">
        <is>
          <t>Risk committee minutes; management dashboard; action log</t>
        </is>
      </c>
      <c r="L2" s="10" t="inlineStr">
        <is>
          <t>Risk &amp; Compliance Lead</t>
        </is>
      </c>
      <c r="M2" s="10" t="inlineStr">
        <is>
          <t>High</t>
        </is>
      </c>
      <c r="N2" s="12" t="n">
        <v>46371</v>
      </c>
      <c r="O2" s="10" t="inlineStr">
        <is>
          <t>Illustrative mapping; validate exact outcome wording against the official NIST CSF 2.0 Core.</t>
        </is>
      </c>
    </row>
    <row r="3">
      <c r="A3" s="13" t="inlineStr">
        <is>
          <t>BT-GOV-02</t>
        </is>
      </c>
      <c r="B3" s="3" t="inlineStr">
        <is>
          <t>Cybersecurity policies and standards</t>
        </is>
      </c>
      <c r="C3" s="3" t="inlineStr">
        <is>
          <t>Govern</t>
        </is>
      </c>
      <c r="D3" s="3" t="inlineStr">
        <is>
          <t>GV.PO</t>
        </is>
      </c>
      <c r="E3" s="3" t="inlineStr">
        <is>
          <t>Policy</t>
        </is>
      </c>
      <c r="F3" s="3" t="inlineStr">
        <is>
          <t>GV.PO-01</t>
        </is>
      </c>
      <c r="G3" s="3" t="inlineStr">
        <is>
          <t>Documented and communicated policy aligns with the CSF policy category.</t>
        </is>
      </c>
      <c r="H3" s="14" t="inlineStr">
        <is>
          <t>Partial</t>
        </is>
      </c>
      <c r="I3" s="3" t="inlineStr">
        <is>
          <t>Policy approval, review cadence, and staff communication records are not yet evidenced.</t>
        </is>
      </c>
      <c r="J3" s="3" t="inlineStr">
        <is>
          <t>Approve an information security policy, assign an owner, set an annual review date, and record staff acknowledgement.</t>
        </is>
      </c>
      <c r="K3" s="3" t="inlineStr">
        <is>
          <t>Approved policy; version history; acknowledgement records</t>
        </is>
      </c>
      <c r="L3" s="3" t="inlineStr">
        <is>
          <t>CISO / Security Lead</t>
        </is>
      </c>
      <c r="M3" s="3" t="inlineStr">
        <is>
          <t>High</t>
        </is>
      </c>
      <c r="N3" s="15" t="n">
        <v>46376</v>
      </c>
      <c r="O3" s="3" t="inlineStr">
        <is>
          <t>Fictional status for portfolio demonstration.</t>
        </is>
      </c>
    </row>
    <row r="4">
      <c r="A4" s="9" t="inlineStr">
        <is>
          <t>BT-GOV-03</t>
        </is>
      </c>
      <c r="B4" s="10" t="inlineStr">
        <is>
          <t>Regulatory and contractual obligations register</t>
        </is>
      </c>
      <c r="C4" s="10" t="inlineStr">
        <is>
          <t>Govern</t>
        </is>
      </c>
      <c r="D4" s="10" t="inlineStr">
        <is>
          <t>GV.OC</t>
        </is>
      </c>
      <c r="E4" s="10" t="inlineStr">
        <is>
          <t>Organizational Context</t>
        </is>
      </c>
      <c r="F4" s="10" t="inlineStr">
        <is>
          <t>GV.OC-03</t>
        </is>
      </c>
      <c r="G4" s="10" t="inlineStr">
        <is>
          <t>A maintained obligations register helps demonstrate awareness of applicable legal, regulatory, and contractual requirements.</t>
        </is>
      </c>
      <c r="H4" s="11" t="inlineStr">
        <is>
          <t>Planned</t>
        </is>
      </c>
      <c r="I4" s="10" t="inlineStr">
        <is>
          <t>No completed obligations register is assumed to exist yet.</t>
        </is>
      </c>
      <c r="J4" s="10" t="inlineStr">
        <is>
          <t>Create an obligations register covering applicable financial-sector, privacy, operational-resilience, and contractual requirements; assign review responsibility.</t>
        </is>
      </c>
      <c r="K4" s="10" t="inlineStr">
        <is>
          <t>Legal obligations register; compliance review record</t>
        </is>
      </c>
      <c r="L4" s="10" t="inlineStr">
        <is>
          <t>Compliance Officer</t>
        </is>
      </c>
      <c r="M4" s="10" t="inlineStr">
        <is>
          <t>High</t>
        </is>
      </c>
      <c r="N4" s="12" t="n">
        <v>46402</v>
      </c>
      <c r="O4" s="10" t="inlineStr">
        <is>
          <t>Applicability should be assessed by qualified personnel for a real organization.</t>
        </is>
      </c>
    </row>
    <row r="5">
      <c r="A5" s="13" t="inlineStr">
        <is>
          <t>BT-GOV-04</t>
        </is>
      </c>
      <c r="B5" s="3" t="inlineStr">
        <is>
          <t>Third-party ICT risk management</t>
        </is>
      </c>
      <c r="C5" s="3" t="inlineStr">
        <is>
          <t>Govern</t>
        </is>
      </c>
      <c r="D5" s="3" t="inlineStr">
        <is>
          <t>GV.SC</t>
        </is>
      </c>
      <c r="E5" s="3" t="inlineStr">
        <is>
          <t>Cybersecurity Supply Chain Risk Management</t>
        </is>
      </c>
      <c r="F5" s="3" t="inlineStr">
        <is>
          <t>GV.SC-05</t>
        </is>
      </c>
      <c r="G5" s="3" t="inlineStr">
        <is>
          <t>Supplier security requirements support cybersecurity supply-chain risk management.</t>
        </is>
      </c>
      <c r="H5" s="14" t="inlineStr">
        <is>
          <t>Partial</t>
        </is>
      </c>
      <c r="I5" s="3" t="inlineStr">
        <is>
          <t>Supplier security requirements and risk tiers are not consistently documented in the fictional scenario.</t>
        </is>
      </c>
      <c r="J5" s="3" t="inlineStr">
        <is>
          <t>Define minimum ICT supplier security requirements and risk-tiered due diligence before onboarding and renewal.</t>
        </is>
      </c>
      <c r="K5" s="3" t="inlineStr">
        <is>
          <t>Supplier inventory; due-diligence questionnaire; contract clauses</t>
        </is>
      </c>
      <c r="L5" s="3" t="inlineStr">
        <is>
          <t>Third-Party Risk Manager</t>
        </is>
      </c>
      <c r="M5" s="3" t="inlineStr">
        <is>
          <t>High</t>
        </is>
      </c>
      <c r="N5" s="15" t="n">
        <v>46407</v>
      </c>
      <c r="O5" s="3" t="inlineStr">
        <is>
          <t>Coordinate with the separate DORA third-party ICT risk assessment.</t>
        </is>
      </c>
    </row>
    <row r="6">
      <c r="A6" s="9" t="inlineStr">
        <is>
          <t>BT-ID-01</t>
        </is>
      </c>
      <c r="B6" s="10" t="inlineStr">
        <is>
          <t>Hardware and infrastructure asset inventory</t>
        </is>
      </c>
      <c r="C6" s="10" t="inlineStr">
        <is>
          <t>Identify</t>
        </is>
      </c>
      <c r="D6" s="10" t="inlineStr">
        <is>
          <t>ID.AM</t>
        </is>
      </c>
      <c r="E6" s="10" t="inlineStr">
        <is>
          <t>Asset Management</t>
        </is>
      </c>
      <c r="F6" s="10" t="inlineStr">
        <is>
          <t>ID.AM-01</t>
        </is>
      </c>
      <c r="G6" s="10" t="inlineStr">
        <is>
          <t>A current inventory of managed hardware supports asset management outcomes.</t>
        </is>
      </c>
      <c r="H6" s="11" t="inlineStr">
        <is>
          <t>Partial</t>
        </is>
      </c>
      <c r="I6" s="10" t="inlineStr">
        <is>
          <t>Asset owners, criticality, and lifecycle dates may be incomplete.</t>
        </is>
      </c>
      <c r="J6" s="10" t="inlineStr">
        <is>
          <t>Assign owners and criticality to each hardware asset; establish a periodic reconciliation process.</t>
        </is>
      </c>
      <c r="K6" s="10" t="inlineStr">
        <is>
          <t>Asset inventory; reconciliation log; owner approvals</t>
        </is>
      </c>
      <c r="L6" s="10" t="inlineStr">
        <is>
          <t>IT Operations Manager</t>
        </is>
      </c>
      <c r="M6" s="10" t="inlineStr">
        <is>
          <t>High</t>
        </is>
      </c>
      <c r="N6" s="12" t="n">
        <v>46366</v>
      </c>
      <c r="O6" s="10" t="inlineStr">
        <is>
          <t>Align with the repository's Asset-Inventory workbook.</t>
        </is>
      </c>
    </row>
    <row r="7">
      <c r="A7" s="13" t="inlineStr">
        <is>
          <t>BT-ID-02</t>
        </is>
      </c>
      <c r="B7" s="3" t="inlineStr">
        <is>
          <t>Software and application inventory</t>
        </is>
      </c>
      <c r="C7" s="3" t="inlineStr">
        <is>
          <t>Identify</t>
        </is>
      </c>
      <c r="D7" s="3" t="inlineStr">
        <is>
          <t>ID.AM</t>
        </is>
      </c>
      <c r="E7" s="3" t="inlineStr">
        <is>
          <t>Asset Management</t>
        </is>
      </c>
      <c r="F7" s="3" t="inlineStr">
        <is>
          <t>ID.AM-02</t>
        </is>
      </c>
      <c r="G7" s="3" t="inlineStr">
        <is>
          <t>A maintained software inventory supports visibility of applications and software components.</t>
        </is>
      </c>
      <c r="H7" s="14" t="inlineStr">
        <is>
          <t>Partial</t>
        </is>
      </c>
      <c r="I7" s="3" t="inlineStr">
        <is>
          <t>Software ownership, versions, and end-of-support status are not fully evidenced.</t>
        </is>
      </c>
      <c r="J7" s="3" t="inlineStr">
        <is>
          <t>Record business owner, version, hosting location, and support status for business-critical software.</t>
        </is>
      </c>
      <c r="K7" s="3" t="inlineStr">
        <is>
          <t>Software inventory; application register; lifecycle report</t>
        </is>
      </c>
      <c r="L7" s="3" t="inlineStr">
        <is>
          <t>Application Owner</t>
        </is>
      </c>
      <c r="M7" s="3" t="inlineStr">
        <is>
          <t>High</t>
        </is>
      </c>
      <c r="N7" s="15" t="n">
        <v>46397</v>
      </c>
      <c r="O7" s="3" t="inlineStr">
        <is>
          <t>Validate the exact subcategory reference against the official Core.</t>
        </is>
      </c>
    </row>
    <row r="8">
      <c r="A8" s="9" t="inlineStr">
        <is>
          <t>BT-ID-03</t>
        </is>
      </c>
      <c r="B8" s="10" t="inlineStr">
        <is>
          <t>Risk assessment and risk register</t>
        </is>
      </c>
      <c r="C8" s="10" t="inlineStr">
        <is>
          <t>Identify</t>
        </is>
      </c>
      <c r="D8" s="10" t="inlineStr">
        <is>
          <t>ID.RA</t>
        </is>
      </c>
      <c r="E8" s="10" t="inlineStr">
        <is>
          <t>Risk Assessment</t>
        </is>
      </c>
      <c r="F8" s="10" t="inlineStr">
        <is>
          <t>ID.RA-05</t>
        </is>
      </c>
      <c r="G8" s="10" t="inlineStr">
        <is>
          <t>Threat, vulnerability, likelihood, and impact analysis supports risk prioritization.</t>
        </is>
      </c>
      <c r="H8" s="11" t="inlineStr">
        <is>
          <t>Partial</t>
        </is>
      </c>
      <c r="I8" s="10" t="inlineStr">
        <is>
          <t>Risk ratings and treatment decisions require evidence of consistent methodology and approval.</t>
        </is>
      </c>
      <c r="J8" s="10" t="inlineStr">
        <is>
          <t>Apply a documented scoring method, record treatment decisions, and review high risks with management.</t>
        </is>
      </c>
      <c r="K8" s="10" t="inlineStr">
        <is>
          <t>Risk Register; methodology; risk acceptance records</t>
        </is>
      </c>
      <c r="L8" s="10" t="inlineStr">
        <is>
          <t>Risk &amp; Compliance Lead</t>
        </is>
      </c>
      <c r="M8" s="10" t="inlineStr">
        <is>
          <t>High</t>
        </is>
      </c>
      <c r="N8" s="12" t="n">
        <v>46374</v>
      </c>
      <c r="O8" s="10" t="inlineStr">
        <is>
          <t>Link to the repository's Risk-Register.xlsx.</t>
        </is>
      </c>
    </row>
    <row r="9">
      <c r="A9" s="13" t="inlineStr">
        <is>
          <t>BT-ID-04</t>
        </is>
      </c>
      <c r="B9" s="3" t="inlineStr">
        <is>
          <t>Vulnerability management</t>
        </is>
      </c>
      <c r="C9" s="3" t="inlineStr">
        <is>
          <t>Identify</t>
        </is>
      </c>
      <c r="D9" s="3" t="inlineStr">
        <is>
          <t>ID.RA</t>
        </is>
      </c>
      <c r="E9" s="3" t="inlineStr">
        <is>
          <t>Risk Assessment</t>
        </is>
      </c>
      <c r="F9" s="3" t="inlineStr">
        <is>
          <t>ID.RA-01</t>
        </is>
      </c>
      <c r="G9" s="3" t="inlineStr">
        <is>
          <t>Identifying and recording vulnerabilities supports understanding of technical risk.</t>
        </is>
      </c>
      <c r="H9" s="14" t="inlineStr">
        <is>
          <t>Planned</t>
        </is>
      </c>
      <c r="I9" s="3" t="inlineStr">
        <is>
          <t>A regular vulnerability discovery and triage process has not been evidenced.</t>
        </is>
      </c>
      <c r="J9" s="3" t="inlineStr">
        <is>
          <t>Establish authenticated scanning where appropriate, triage findings by risk, and track remediation to closure.</t>
        </is>
      </c>
      <c r="K9" s="3" t="inlineStr">
        <is>
          <t>Vulnerability scan reports; remediation tickets; exception records</t>
        </is>
      </c>
      <c r="L9" s="3" t="inlineStr">
        <is>
          <t>Security Engineer</t>
        </is>
      </c>
      <c r="M9" s="3" t="inlineStr">
        <is>
          <t>High</t>
        </is>
      </c>
      <c r="N9" s="15" t="n">
        <v>46412</v>
      </c>
      <c r="O9" s="3" t="inlineStr">
        <is>
          <t>Use authorized tools and safe testing scope in real environments.</t>
        </is>
      </c>
    </row>
    <row r="10">
      <c r="A10" s="9" t="inlineStr">
        <is>
          <t>BT-PR-01</t>
        </is>
      </c>
      <c r="B10" s="10" t="inlineStr">
        <is>
          <t>Identity and access management</t>
        </is>
      </c>
      <c r="C10" s="10" t="inlineStr">
        <is>
          <t>Protect</t>
        </is>
      </c>
      <c r="D10" s="10" t="inlineStr">
        <is>
          <t>PR.AA</t>
        </is>
      </c>
      <c r="E10" s="10" t="inlineStr">
        <is>
          <t>Identity Management, Authentication, and Access Control</t>
        </is>
      </c>
      <c r="F10" s="10" t="inlineStr">
        <is>
          <t>PR.AA-01</t>
        </is>
      </c>
      <c r="G10" s="10" t="inlineStr">
        <is>
          <t>Managed identities and access rights support identity and access governance.</t>
        </is>
      </c>
      <c r="H10" s="11" t="inlineStr">
        <is>
          <t>Partial</t>
        </is>
      </c>
      <c r="I10" s="10" t="inlineStr">
        <is>
          <t>Joiner-mover-leaver controls and periodic access reviews are not fully evidenced.</t>
        </is>
      </c>
      <c r="J10" s="10" t="inlineStr">
        <is>
          <t>Document identity lifecycle procedures and perform quarterly access reviews for critical systems.</t>
        </is>
      </c>
      <c r="K10" s="10" t="inlineStr">
        <is>
          <t>Access review records; identity lifecycle procedure; ticket samples</t>
        </is>
      </c>
      <c r="L10" s="10" t="inlineStr">
        <is>
          <t>IAM Administrator</t>
        </is>
      </c>
      <c r="M10" s="10" t="inlineStr">
        <is>
          <t>High</t>
        </is>
      </c>
      <c r="N10" s="12" t="n">
        <v>46378</v>
      </c>
      <c r="O10" s="10" t="inlineStr">
        <is>
          <t>Avoid including real credentials or sensitive account details in portfolio evidence.</t>
        </is>
      </c>
    </row>
    <row r="11">
      <c r="A11" s="13" t="inlineStr">
        <is>
          <t>BT-PR-02</t>
        </is>
      </c>
      <c r="B11" s="3" t="inlineStr">
        <is>
          <t>Multi-factor authentication</t>
        </is>
      </c>
      <c r="C11" s="3" t="inlineStr">
        <is>
          <t>Protect</t>
        </is>
      </c>
      <c r="D11" s="3" t="inlineStr">
        <is>
          <t>PR.AA</t>
        </is>
      </c>
      <c r="E11" s="3" t="inlineStr">
        <is>
          <t>Identity Management, Authentication, and Access Control</t>
        </is>
      </c>
      <c r="F11" s="3" t="inlineStr">
        <is>
          <t>PR.AA-03</t>
        </is>
      </c>
      <c r="G11" s="3" t="inlineStr">
        <is>
          <t>Authentication of users and devices supports controlled access to systems and services.</t>
        </is>
      </c>
      <c r="H11" s="14" t="inlineStr">
        <is>
          <t>Partial</t>
        </is>
      </c>
      <c r="I11" s="3" t="inlineStr">
        <is>
          <t>MFA coverage for privileged and remote access has not been verified.</t>
        </is>
      </c>
      <c r="J11" s="3" t="inlineStr">
        <is>
          <t>Prioritize MFA for privileged accounts, remote access, and critical business applications; document exceptions.</t>
        </is>
      </c>
      <c r="K11" s="3" t="inlineStr">
        <is>
          <t>MFA configuration evidence; coverage report; exception approvals</t>
        </is>
      </c>
      <c r="L11" s="3" t="inlineStr">
        <is>
          <t>IAM Administrator</t>
        </is>
      </c>
      <c r="M11" s="3" t="inlineStr">
        <is>
          <t>High</t>
        </is>
      </c>
      <c r="N11" s="15" t="n">
        <v>46368</v>
      </c>
      <c r="O11" s="3" t="inlineStr">
        <is>
          <t>The reference is an illustrative mapping; verify exact outcome applicability.</t>
        </is>
      </c>
    </row>
    <row r="12">
      <c r="A12" s="9" t="inlineStr">
        <is>
          <t>BT-PR-03</t>
        </is>
      </c>
      <c r="B12" s="10" t="inlineStr">
        <is>
          <t>Security awareness and training</t>
        </is>
      </c>
      <c r="C12" s="10" t="inlineStr">
        <is>
          <t>Protect</t>
        </is>
      </c>
      <c r="D12" s="10" t="inlineStr">
        <is>
          <t>PR.AT</t>
        </is>
      </c>
      <c r="E12" s="10" t="inlineStr">
        <is>
          <t>Awareness and Training</t>
        </is>
      </c>
      <c r="F12" s="10" t="inlineStr">
        <is>
          <t>PR.AT-01</t>
        </is>
      </c>
      <c r="G12" s="10" t="inlineStr">
        <is>
          <t>Personnel awareness supports understanding of cybersecurity risks and responsibilities.</t>
        </is>
      </c>
      <c r="H12" s="11" t="inlineStr">
        <is>
          <t>Partial</t>
        </is>
      </c>
      <c r="I12" s="10" t="inlineStr">
        <is>
          <t>Training completion and role-based training evidence are not established in the fictional scenario.</t>
        </is>
      </c>
      <c r="J12" s="10" t="inlineStr">
        <is>
          <t>Deliver annual awareness training and targeted training for privileged and high-risk roles; track completion.</t>
        </is>
      </c>
      <c r="K12" s="10" t="inlineStr">
        <is>
          <t>Training plan; completion report; awareness materials</t>
        </is>
      </c>
      <c r="L12" s="10" t="inlineStr">
        <is>
          <t>HR / Security Lead</t>
        </is>
      </c>
      <c r="M12" s="10" t="inlineStr">
        <is>
          <t>Medium</t>
        </is>
      </c>
      <c r="N12" s="12" t="n">
        <v>46419</v>
      </c>
      <c r="O12" s="10" t="inlineStr">
        <is>
          <t>Use aggregate or fictional records only.</t>
        </is>
      </c>
    </row>
    <row r="13">
      <c r="A13" s="13" t="inlineStr">
        <is>
          <t>BT-PR-04</t>
        </is>
      </c>
      <c r="B13" s="3" t="inlineStr">
        <is>
          <t>Data protection and encryption</t>
        </is>
      </c>
      <c r="C13" s="3" t="inlineStr">
        <is>
          <t>Protect</t>
        </is>
      </c>
      <c r="D13" s="3" t="inlineStr">
        <is>
          <t>PR.DS</t>
        </is>
      </c>
      <c r="E13" s="3" t="inlineStr">
        <is>
          <t>Data Security</t>
        </is>
      </c>
      <c r="F13" s="3" t="inlineStr">
        <is>
          <t>PR.DS-01</t>
        </is>
      </c>
      <c r="G13" s="3" t="inlineStr">
        <is>
          <t>Protection of data at rest supports confidentiality and integrity of stored information.</t>
        </is>
      </c>
      <c r="H13" s="14" t="inlineStr">
        <is>
          <t>Partial</t>
        </is>
      </c>
      <c r="I13" s="3" t="inlineStr">
        <is>
          <t>Encryption coverage and key-management responsibilities need validation.</t>
        </is>
      </c>
      <c r="J13" s="3" t="inlineStr">
        <is>
          <t>Classify sensitive data, verify encryption at rest on relevant systems, and document key-management ownership.</t>
        </is>
      </c>
      <c r="K13" s="3" t="inlineStr">
        <is>
          <t>Data classification; encryption configuration; key-management procedure</t>
        </is>
      </c>
      <c r="L13" s="3" t="inlineStr">
        <is>
          <t>Data Protection / IT Lead</t>
        </is>
      </c>
      <c r="M13" s="3" t="inlineStr">
        <is>
          <t>High</t>
        </is>
      </c>
      <c r="N13" s="15" t="n">
        <v>46402</v>
      </c>
      <c r="O13" s="3" t="inlineStr">
        <is>
          <t>Do not store actual keys or secrets in the repository.</t>
        </is>
      </c>
    </row>
    <row r="14">
      <c r="A14" s="9" t="inlineStr">
        <is>
          <t>BT-PR-05</t>
        </is>
      </c>
      <c r="B14" s="10" t="inlineStr">
        <is>
          <t>Secure configuration and patch management</t>
        </is>
      </c>
      <c r="C14" s="10" t="inlineStr">
        <is>
          <t>Protect</t>
        </is>
      </c>
      <c r="D14" s="10" t="inlineStr">
        <is>
          <t>PR.PS</t>
        </is>
      </c>
      <c r="E14" s="10" t="inlineStr">
        <is>
          <t>Platform Security</t>
        </is>
      </c>
      <c r="F14" s="10" t="inlineStr">
        <is>
          <t>PR.PS-02</t>
        </is>
      </c>
      <c r="G14" s="10" t="inlineStr">
        <is>
          <t>Maintaining software and platforms supports secure operation and reduction of known weaknesses.</t>
        </is>
      </c>
      <c r="H14" s="11" t="inlineStr">
        <is>
          <t>Partial</t>
        </is>
      </c>
      <c r="I14" s="10" t="inlineStr">
        <is>
          <t>Patch timelines and exception handling are not consistently evidenced.</t>
        </is>
      </c>
      <c r="J14" s="10" t="inlineStr">
        <is>
          <t>Define risk-based patch SLAs, report overdue critical patches, and record approved exceptions.</t>
        </is>
      </c>
      <c r="K14" s="10" t="inlineStr">
        <is>
          <t>Patch reports; change tickets; exception register</t>
        </is>
      </c>
      <c r="L14" s="10" t="inlineStr">
        <is>
          <t>IT Operations Manager</t>
        </is>
      </c>
      <c r="M14" s="10" t="inlineStr">
        <is>
          <t>High</t>
        </is>
      </c>
      <c r="N14" s="12" t="n">
        <v>46386</v>
      </c>
      <c r="O14" s="10" t="inlineStr">
        <is>
          <t>Map to internal control catalogue and vulnerability process.</t>
        </is>
      </c>
    </row>
    <row r="15">
      <c r="A15" s="13" t="inlineStr">
        <is>
          <t>BT-PR-06</t>
        </is>
      </c>
      <c r="B15" s="3" t="inlineStr">
        <is>
          <t>Technology resilience and network protection</t>
        </is>
      </c>
      <c r="C15" s="3" t="inlineStr">
        <is>
          <t>Protect</t>
        </is>
      </c>
      <c r="D15" s="3" t="inlineStr">
        <is>
          <t>PR.IR</t>
        </is>
      </c>
      <c r="E15" s="3" t="inlineStr">
        <is>
          <t>Technology Infrastructure Resilience</t>
        </is>
      </c>
      <c r="F15" s="3" t="inlineStr">
        <is>
          <t>PR.IR-01</t>
        </is>
      </c>
      <c r="G15" s="3" t="inlineStr">
        <is>
          <t>Protection of network and technology environments supports resilience against unauthorized activity.</t>
        </is>
      </c>
      <c r="H15" s="14" t="inlineStr">
        <is>
          <t>Partial</t>
        </is>
      </c>
      <c r="I15" s="3" t="inlineStr">
        <is>
          <t>Network segmentation and resilience design evidence requires review.</t>
        </is>
      </c>
      <c r="J15" s="3" t="inlineStr">
        <is>
          <t>Document network zones, restrict inter-zone traffic, and test security rules for critical systems.</t>
        </is>
      </c>
      <c r="K15" s="3" t="inlineStr">
        <is>
          <t>Network diagram; firewall rule review; segmentation test records</t>
        </is>
      </c>
      <c r="L15" s="3" t="inlineStr">
        <is>
          <t>Network Manager</t>
        </is>
      </c>
      <c r="M15" s="3" t="inlineStr">
        <is>
          <t>High</t>
        </is>
      </c>
      <c r="N15" s="15" t="n">
        <v>46417</v>
      </c>
      <c r="O15" s="3" t="inlineStr">
        <is>
          <t>Keep diagrams high-level and remove sensitive production details.</t>
        </is>
      </c>
    </row>
    <row r="16">
      <c r="A16" s="9" t="inlineStr">
        <is>
          <t>BT-DE-01</t>
        </is>
      </c>
      <c r="B16" s="10" t="inlineStr">
        <is>
          <t>Security logging and continuous monitoring</t>
        </is>
      </c>
      <c r="C16" s="10" t="inlineStr">
        <is>
          <t>Detect</t>
        </is>
      </c>
      <c r="D16" s="10" t="inlineStr">
        <is>
          <t>DE.CM</t>
        </is>
      </c>
      <c r="E16" s="10" t="inlineStr">
        <is>
          <t>Continuous Monitoring</t>
        </is>
      </c>
      <c r="F16" s="10" t="inlineStr">
        <is>
          <t>DE.CM-01</t>
        </is>
      </c>
      <c r="G16" s="10" t="inlineStr">
        <is>
          <t>Monitoring networks and relevant systems supports timely detection of potentially adverse events.</t>
        </is>
      </c>
      <c r="H16" s="11" t="inlineStr">
        <is>
          <t>Partial</t>
        </is>
      </c>
      <c r="I16" s="10" t="inlineStr">
        <is>
          <t>Log source coverage, alert ownership, and retention settings are not fully evidenced.</t>
        </is>
      </c>
      <c r="J16" s="10" t="inlineStr">
        <is>
          <t>Define critical log sources, centralize logs where appropriate, establish alert ownership, and review coverage monthly.</t>
        </is>
      </c>
      <c r="K16" s="10" t="inlineStr">
        <is>
          <t>Logging standard; SIEM source list; alert review records</t>
        </is>
      </c>
      <c r="L16" s="10" t="inlineStr">
        <is>
          <t>SOC / Security Engineer</t>
        </is>
      </c>
      <c r="M16" s="10" t="inlineStr">
        <is>
          <t>High</t>
        </is>
      </c>
      <c r="N16" s="12" t="n">
        <v>46399</v>
      </c>
      <c r="O16" s="10" t="inlineStr">
        <is>
          <t>Use fictional sample evidence in the portfolio.</t>
        </is>
      </c>
    </row>
    <row r="17">
      <c r="A17" s="13" t="inlineStr">
        <is>
          <t>BT-DE-02</t>
        </is>
      </c>
      <c r="B17" s="3" t="inlineStr">
        <is>
          <t>Security event triage and analysis</t>
        </is>
      </c>
      <c r="C17" s="3" t="inlineStr">
        <is>
          <t>Detect</t>
        </is>
      </c>
      <c r="D17" s="3" t="inlineStr">
        <is>
          <t>DE.AE</t>
        </is>
      </c>
      <c r="E17" s="3" t="inlineStr">
        <is>
          <t>Adverse Event Analysis</t>
        </is>
      </c>
      <c r="F17" s="3" t="inlineStr">
        <is>
          <t>DE.AE-02</t>
        </is>
      </c>
      <c r="G17" s="3" t="inlineStr">
        <is>
          <t>Analysis of potential adverse events supports distinguishing security events from incidents.</t>
        </is>
      </c>
      <c r="H17" s="14" t="inlineStr">
        <is>
          <t>Planned</t>
        </is>
      </c>
      <c r="I17" s="3" t="inlineStr">
        <is>
          <t>Documented triage criteria and escalation thresholds are not yet evidenced.</t>
        </is>
      </c>
      <c r="J17" s="3" t="inlineStr">
        <is>
          <t>Create triage playbooks, severity criteria, and escalation paths; test using tabletop scenarios.</t>
        </is>
      </c>
      <c r="K17" s="3" t="inlineStr">
        <is>
          <t>Triage procedure; alert tickets; tabletop results</t>
        </is>
      </c>
      <c r="L17" s="3" t="inlineStr">
        <is>
          <t>SOC Lead</t>
        </is>
      </c>
      <c r="M17" s="3" t="inlineStr">
        <is>
          <t>High</t>
        </is>
      </c>
      <c r="N17" s="15" t="n">
        <v>46412</v>
      </c>
      <c r="O17" s="3" t="inlineStr">
        <is>
          <t>Coordinate with incident management documentation.</t>
        </is>
      </c>
    </row>
    <row r="18">
      <c r="A18" s="9" t="inlineStr">
        <is>
          <t>BT-RS-01</t>
        </is>
      </c>
      <c r="B18" s="10" t="inlineStr">
        <is>
          <t>Incident response plan</t>
        </is>
      </c>
      <c r="C18" s="10" t="inlineStr">
        <is>
          <t>Respond</t>
        </is>
      </c>
      <c r="D18" s="10" t="inlineStr">
        <is>
          <t>RS.MA</t>
        </is>
      </c>
      <c r="E18" s="10" t="inlineStr">
        <is>
          <t>Incident Management</t>
        </is>
      </c>
      <c r="F18" s="10" t="inlineStr">
        <is>
          <t>RS.MA-01</t>
        </is>
      </c>
      <c r="G18" s="10" t="inlineStr">
        <is>
          <t>A defined incident management process supports coordinated incident response.</t>
        </is>
      </c>
      <c r="H18" s="11" t="inlineStr">
        <is>
          <t>Partial</t>
        </is>
      </c>
      <c r="I18" s="10" t="inlineStr">
        <is>
          <t>Plan approval, roles, and exercise evidence need validation.</t>
        </is>
      </c>
      <c r="J18" s="10" t="inlineStr">
        <is>
          <t>Approve an incident response plan with severity levels, roles, escalation, communications, and exercise cadence.</t>
        </is>
      </c>
      <c r="K18" s="10" t="inlineStr">
        <is>
          <t>Incident response plan; contact tree; exercise report</t>
        </is>
      </c>
      <c r="L18" s="10" t="inlineStr">
        <is>
          <t>Incident Response Lead</t>
        </is>
      </c>
      <c r="M18" s="10" t="inlineStr">
        <is>
          <t>High</t>
        </is>
      </c>
      <c r="N18" s="12" t="n">
        <v>46384</v>
      </c>
      <c r="O18" s="10" t="inlineStr">
        <is>
          <t>Align with DORA incident management and reporting requirements where applicable.</t>
        </is>
      </c>
    </row>
    <row r="19">
      <c r="A19" s="13" t="inlineStr">
        <is>
          <t>BT-RS-02</t>
        </is>
      </c>
      <c r="B19" s="3" t="inlineStr">
        <is>
          <t>Incident communications and reporting</t>
        </is>
      </c>
      <c r="C19" s="3" t="inlineStr">
        <is>
          <t>Respond</t>
        </is>
      </c>
      <c r="D19" s="3" t="inlineStr">
        <is>
          <t>RS.CO</t>
        </is>
      </c>
      <c r="E19" s="3" t="inlineStr">
        <is>
          <t>Incident Response Reporting and Communication</t>
        </is>
      </c>
      <c r="F19" s="3" t="inlineStr">
        <is>
          <t>RS.CO-02</t>
        </is>
      </c>
      <c r="G19" s="3" t="inlineStr">
        <is>
          <t>Defined stakeholder notification processes support timely incident communications.</t>
        </is>
      </c>
      <c r="H19" s="14" t="inlineStr">
        <is>
          <t>Planned</t>
        </is>
      </c>
      <c r="I19" s="3" t="inlineStr">
        <is>
          <t>Notification decision criteria, contact lists, and reporting timelines are not documented in this fictional scenario.</t>
        </is>
      </c>
      <c r="J19" s="3" t="inlineStr">
        <is>
          <t>Create an incident communication matrix and validate applicable regulatory and contractual reporting timelines.</t>
        </is>
      </c>
      <c r="K19" s="3" t="inlineStr">
        <is>
          <t>Communication matrix; notification templates; exercise records</t>
        </is>
      </c>
      <c r="L19" s="3" t="inlineStr">
        <is>
          <t>Compliance Officer / Incident Lead</t>
        </is>
      </c>
      <c r="M19" s="3" t="inlineStr">
        <is>
          <t>High</t>
        </is>
      </c>
      <c r="N19" s="15" t="n">
        <v>46417</v>
      </c>
      <c r="O19" s="3" t="inlineStr">
        <is>
          <t>Confirm actual obligations with legal/compliance specialists in real settings.</t>
        </is>
      </c>
    </row>
    <row r="20">
      <c r="A20" s="9" t="inlineStr">
        <is>
          <t>BT-RS-03</t>
        </is>
      </c>
      <c r="B20" s="10" t="inlineStr">
        <is>
          <t>Incident containment and mitigation</t>
        </is>
      </c>
      <c r="C20" s="10" t="inlineStr">
        <is>
          <t>Respond</t>
        </is>
      </c>
      <c r="D20" s="10" t="inlineStr">
        <is>
          <t>RS.MI</t>
        </is>
      </c>
      <c r="E20" s="10" t="inlineStr">
        <is>
          <t>Incident Mitigation</t>
        </is>
      </c>
      <c r="F20" s="10" t="inlineStr">
        <is>
          <t>RS.MI-01</t>
        </is>
      </c>
      <c r="G20" s="10" t="inlineStr">
        <is>
          <t>Containment activities support limiting the impact of a cybersecurity incident.</t>
        </is>
      </c>
      <c r="H20" s="11" t="inlineStr">
        <is>
          <t>Partial</t>
        </is>
      </c>
      <c r="I20" s="10" t="inlineStr">
        <is>
          <t>Containment playbooks for key incident types have not been tested.</t>
        </is>
      </c>
      <c r="J20" s="10" t="inlineStr">
        <is>
          <t>Develop and exercise containment playbooks for malware, compromised accounts, and data exposure scenarios.</t>
        </is>
      </c>
      <c r="K20" s="10" t="inlineStr">
        <is>
          <t>Playbooks; exercise records; incident action log</t>
        </is>
      </c>
      <c r="L20" s="10" t="inlineStr">
        <is>
          <t>Incident Response Lead</t>
        </is>
      </c>
      <c r="M20" s="10" t="inlineStr">
        <is>
          <t>High</t>
        </is>
      </c>
      <c r="N20" s="12" t="n">
        <v>46428</v>
      </c>
      <c r="O20" s="10" t="inlineStr">
        <is>
          <t>Use safe tabletop exercises for portfolio evidence.</t>
        </is>
      </c>
    </row>
    <row r="21">
      <c r="A21" s="13" t="inlineStr">
        <is>
          <t>BT-RC-01</t>
        </is>
      </c>
      <c r="B21" s="3" t="inlineStr">
        <is>
          <t>Business continuity and recovery planning</t>
        </is>
      </c>
      <c r="C21" s="3" t="inlineStr">
        <is>
          <t>Recover</t>
        </is>
      </c>
      <c r="D21" s="3" t="inlineStr">
        <is>
          <t>RC.RP</t>
        </is>
      </c>
      <c r="E21" s="3" t="inlineStr">
        <is>
          <t>Incident Recovery Plan Execution</t>
        </is>
      </c>
      <c r="F21" s="3" t="inlineStr">
        <is>
          <t>RC.RP-01</t>
        </is>
      </c>
      <c r="G21" s="3" t="inlineStr">
        <is>
          <t>Recovery planning supports restoration of systems and services after an incident.</t>
        </is>
      </c>
      <c r="H21" s="14" t="inlineStr">
        <is>
          <t>Partial</t>
        </is>
      </c>
      <c r="I21" s="3" t="inlineStr">
        <is>
          <t>Recovery priorities, recovery objectives, and test evidence need validation.</t>
        </is>
      </c>
      <c r="J21" s="3" t="inlineStr">
        <is>
          <t>Define recovery priorities and RTO/RPO assumptions for critical services; test backup restoration and recovery procedures.</t>
        </is>
      </c>
      <c r="K21" s="3" t="inlineStr">
        <is>
          <t>BCP/DR plan; backup restore test; recovery exercise report</t>
        </is>
      </c>
      <c r="L21" s="3" t="inlineStr">
        <is>
          <t>Business Continuity Manager</t>
        </is>
      </c>
      <c r="M21" s="3" t="inlineStr">
        <is>
          <t>High</t>
        </is>
      </c>
      <c r="N21" s="15" t="n">
        <v>46433</v>
      </c>
      <c r="O21" s="3" t="inlineStr">
        <is>
          <t>Coordinate with planned BCP/DR portfolio stage.</t>
        </is>
      </c>
    </row>
    <row r="22">
      <c r="A22" s="9" t="inlineStr">
        <is>
          <t>BT-RC-02</t>
        </is>
      </c>
      <c r="B22" s="10" t="inlineStr">
        <is>
          <t>Recovery communications</t>
        </is>
      </c>
      <c r="C22" s="10" t="inlineStr">
        <is>
          <t>Recover</t>
        </is>
      </c>
      <c r="D22" s="10" t="inlineStr">
        <is>
          <t>RC.CO</t>
        </is>
      </c>
      <c r="E22" s="10" t="inlineStr">
        <is>
          <t>Incident Recovery Communication</t>
        </is>
      </c>
      <c r="F22" s="10" t="inlineStr">
        <is>
          <t>RC.CO-03</t>
        </is>
      </c>
      <c r="G22" s="10" t="inlineStr">
        <is>
          <t>Recovery communications support coordination with stakeholders during restoration.</t>
        </is>
      </c>
      <c r="H22" s="11" t="inlineStr">
        <is>
          <t>Planned</t>
        </is>
      </c>
      <c r="I22" s="10" t="inlineStr">
        <is>
          <t>Recovery status communications and approval responsibilities are not yet documented.</t>
        </is>
      </c>
      <c r="J22" s="10" t="inlineStr">
        <is>
          <t>Define recovery update cadence, stakeholder audiences, approval roles, and closure communications.</t>
        </is>
      </c>
      <c r="K22" s="10" t="inlineStr">
        <is>
          <t>Recovery communications plan; exercise timeline; status templates</t>
        </is>
      </c>
      <c r="L22" s="10" t="inlineStr">
        <is>
          <t>Business Continuity Manager</t>
        </is>
      </c>
      <c r="M22" s="10" t="inlineStr">
        <is>
          <t>Medium</t>
        </is>
      </c>
      <c r="N22" s="12" t="n">
        <v>46438</v>
      </c>
      <c r="O22" s="10" t="inlineStr">
        <is>
          <t>Validate exact subcategory wording and fit against the official NIST Core.</t>
        </is>
      </c>
    </row>
    <row r="23">
      <c r="A23" s="13" t="inlineStr">
        <is>
          <t>BT-GOV-05</t>
        </is>
      </c>
      <c r="B23" s="3" t="inlineStr">
        <is>
          <t>Cybersecurity risk strategy and appetite</t>
        </is>
      </c>
      <c r="C23" s="3" t="inlineStr">
        <is>
          <t>Govern</t>
        </is>
      </c>
      <c r="D23" s="3" t="inlineStr">
        <is>
          <t>GV.RM</t>
        </is>
      </c>
      <c r="E23" s="3" t="inlineStr">
        <is>
          <t>Risk Management Strategy</t>
        </is>
      </c>
      <c r="F23" s="3" t="inlineStr">
        <is>
          <t>GV.RM-03</t>
        </is>
      </c>
      <c r="G23" s="3" t="inlineStr">
        <is>
          <t>Risk strategy and tolerance help align cybersecurity decisions with enterprise risk objectives.</t>
        </is>
      </c>
      <c r="H23" s="14" t="inlineStr">
        <is>
          <t>Partial</t>
        </is>
      </c>
      <c r="I23" s="3" t="inlineStr">
        <is>
          <t>Risk appetite and escalation thresholds are not explicitly documented.</t>
        </is>
      </c>
      <c r="J23" s="3" t="inlineStr">
        <is>
          <t>Document cybersecurity risk tolerance, escalation thresholds, and linkage to enterprise risk management.</t>
        </is>
      </c>
      <c r="K23" s="3" t="inlineStr">
        <is>
          <t>Risk appetite statement; risk committee approval; escalation procedure</t>
        </is>
      </c>
      <c r="L23" s="3" t="inlineStr">
        <is>
          <t>Chief Risk Officer</t>
        </is>
      </c>
      <c r="M23" s="3" t="inlineStr">
        <is>
          <t>High</t>
        </is>
      </c>
      <c r="N23" s="15" t="n">
        <v>46407</v>
      </c>
      <c r="O23" s="3" t="inlineStr">
        <is>
          <t>Illustrative association; validate exact reference and applicability.</t>
        </is>
      </c>
    </row>
    <row r="24">
      <c r="A24" s="9" t="inlineStr">
        <is>
          <t>BT-GOV-06</t>
        </is>
      </c>
      <c r="B24" s="10" t="inlineStr">
        <is>
          <t>Supplier monitoring and reassessment</t>
        </is>
      </c>
      <c r="C24" s="10" t="inlineStr">
        <is>
          <t>Govern</t>
        </is>
      </c>
      <c r="D24" s="10" t="inlineStr">
        <is>
          <t>GV.SC</t>
        </is>
      </c>
      <c r="E24" s="10" t="inlineStr">
        <is>
          <t>Cybersecurity Supply Chain Risk Management</t>
        </is>
      </c>
      <c r="F24" s="10" t="inlineStr">
        <is>
          <t>GV.SC-07</t>
        </is>
      </c>
      <c r="G24" s="10" t="inlineStr">
        <is>
          <t>Ongoing monitoring supports understanding of cybersecurity risks associated with suppliers.</t>
        </is>
      </c>
      <c r="H24" s="11" t="inlineStr">
        <is>
          <t>Planned</t>
        </is>
      </c>
      <c r="I24" s="10" t="inlineStr">
        <is>
          <t>Periodic reassessment and supplier incident notification expectations are not evidenced.</t>
        </is>
      </c>
      <c r="J24" s="10" t="inlineStr">
        <is>
          <t>Set reassessment frequency by supplier criticality and define how supplier incidents are escalated.</t>
        </is>
      </c>
      <c r="K24" s="10" t="inlineStr">
        <is>
          <t>Supplier review calendar; reassessment records; contract clauses</t>
        </is>
      </c>
      <c r="L24" s="10" t="inlineStr">
        <is>
          <t>Third-Party Risk Manager</t>
        </is>
      </c>
      <c r="M24" s="10" t="inlineStr">
        <is>
          <t>Medium</t>
        </is>
      </c>
      <c r="N24" s="12" t="n">
        <v>46428</v>
      </c>
      <c r="O24" s="10" t="inlineStr">
        <is>
          <t>Coordinate with third-party ICT risk register.</t>
        </is>
      </c>
    </row>
    <row r="25">
      <c r="A25" s="13" t="inlineStr">
        <is>
          <t>BT-ID-05</t>
        </is>
      </c>
      <c r="B25" s="3" t="inlineStr">
        <is>
          <t>Improvement and lessons learned</t>
        </is>
      </c>
      <c r="C25" s="3" t="inlineStr">
        <is>
          <t>Identify</t>
        </is>
      </c>
      <c r="D25" s="3" t="inlineStr">
        <is>
          <t>ID.IM</t>
        </is>
      </c>
      <c r="E25" s="3" t="inlineStr">
        <is>
          <t>Improvement</t>
        </is>
      </c>
      <c r="F25" s="3" t="inlineStr">
        <is>
          <t>ID.IM-01</t>
        </is>
      </c>
      <c r="G25" s="3" t="inlineStr">
        <is>
          <t>Improvement outcomes support learning from assessments, tests, incidents, and reviews.</t>
        </is>
      </c>
      <c r="H25" s="14" t="inlineStr">
        <is>
          <t>Planned</t>
        </is>
      </c>
      <c r="I25" s="3" t="inlineStr">
        <is>
          <t>Lessons learned are not consistently linked to tracked improvement actions.</t>
        </is>
      </c>
      <c r="J25" s="3" t="inlineStr">
        <is>
          <t>Create a lessons-learned process that records root causes, owners, due dates, and effectiveness checks.</t>
        </is>
      </c>
      <c r="K25" s="3" t="inlineStr">
        <is>
          <t>Post-incident review; audit action tracker; improvement log</t>
        </is>
      </c>
      <c r="L25" s="3" t="inlineStr">
        <is>
          <t>GRC Analyst</t>
        </is>
      </c>
      <c r="M25" s="3" t="inlineStr">
        <is>
          <t>Medium</t>
        </is>
      </c>
      <c r="N25" s="15" t="n">
        <v>46443</v>
      </c>
      <c r="O25" s="3" t="inlineStr">
        <is>
          <t>Illustrative mapping; validate exact outcome wording.</t>
        </is>
      </c>
    </row>
  </sheetData>
  <autoFilter ref="A1:O25"/>
  <conditionalFormatting sqref="H2:H25">
    <cfRule type="cellIs" priority="1" operator="equal" dxfId="0">
      <formula>"Implemented"</formula>
    </cfRule>
    <cfRule type="cellIs" priority="2" operator="equal" dxfId="1">
      <formula>"Partial"</formula>
    </cfRule>
    <cfRule type="cellIs" priority="3" operator="equal" dxfId="2">
      <formula>"Planned"</formula>
    </cfRule>
    <cfRule type="cellIs" priority="4" operator="equal" dxfId="3">
      <formula>"Not Implemented"</formula>
    </cfRule>
    <cfRule type="cellIs" priority="5" operator="equal" dxfId="4">
      <formula>"Not Assessed"</formula>
    </cfRule>
  </conditionalFormatting>
  <conditionalFormatting sqref="M2:M25">
    <cfRule type="cellIs" priority="6" operator="equal" dxfId="5">
      <formula>"Critical"</formula>
    </cfRule>
    <cfRule type="cellIs" priority="7" operator="equal" dxfId="6">
      <formula>"High"</formula>
    </cfRule>
    <cfRule type="cellIs" priority="8" operator="equal" dxfId="7">
      <formula>"Medium"</formula>
    </cfRule>
    <cfRule type="cellIs" priority="9" operator="equal" dxfId="8">
      <formula>"Low"</formula>
    </cfRule>
  </conditionalFormatting>
  <dataValidations count="2">
    <dataValidation sqref="H2:H25" showDropDown="0" showInputMessage="0" showErrorMessage="0" allowBlank="1" type="list">
      <formula1>"Implemented,Partial,Planned,Not Implemented,Not Assessed"</formula1>
    </dataValidation>
    <dataValidation sqref="M2:M25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2026-10-09T18:47:50Z</dcterms:created>
  <dcterms:modified xmlns:dcterms="http://purl.org/dc/terms/" xmlns:xsi="http://www.w3.org/2001/XMLSchema-instance" xsi:type="dcterms:W3CDTF">2026-10-09T18:47:50Z</dcterms:modified>
</cp:coreProperties>
</file>