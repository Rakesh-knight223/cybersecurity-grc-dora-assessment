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Scoring Matrix" sheetId="2" state="visible" r:id="rId2"/>
    <sheet xmlns:r="http://schemas.openxmlformats.org/officeDocument/2006/relationships" name="Risk Reference" sheetId="3" state="visible" r:id="rId3"/>
  </sheets>
  <definedNames>
    <definedName name="_xlnm._FilterDatabase" localSheetId="0" hidden="1">'Risk Register'!$A$1:$X$16</definedName>
    <definedName name="_xlnm._FilterDatabase" localSheetId="1" hidden="1">'Scoring Matrix'!$A$1:$C$27</definedName>
    <definedName name="_xlnm._FilterDatabase" localSheetId="2" hidden="1">'Risk Reference'!$A$1:$B$14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F4CCCC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2" customWidth="1" min="4" max="4"/>
    <col width="24" customWidth="1" min="5" max="5"/>
    <col width="28" customWidth="1" min="6" max="6"/>
    <col width="36" customWidth="1" min="7" max="7"/>
    <col width="48" customWidth="1" min="8" max="8"/>
    <col width="38" customWidth="1" min="9" max="9"/>
    <col width="15" customWidth="1" min="10" max="10"/>
    <col width="13" customWidth="1" min="11" max="11"/>
    <col width="18" customWidth="1" min="12" max="12"/>
    <col width="20" customWidth="1" min="13" max="13"/>
    <col width="18" customWidth="1" min="14" max="14"/>
    <col width="48" customWidth="1" min="15" max="15"/>
    <col width="26" customWidth="1" min="16" max="16"/>
    <col width="14" customWidth="1" min="17" max="17"/>
    <col width="18" customWidth="1" min="18" max="18"/>
    <col width="16" customWidth="1" min="19" max="19"/>
    <col width="19" customWidth="1" min="20" max="20"/>
    <col width="20" customWidth="1" min="21" max="21"/>
    <col width="15" customWidth="1" min="22" max="22"/>
    <col width="18" customWidth="1" min="23" max="23"/>
    <col width="34" customWidth="1" min="24" max="24"/>
  </cols>
  <sheetData>
    <row r="1" ht="42" customHeight="1">
      <c r="A1" s="1" t="inlineStr">
        <is>
          <t>Risk ID</t>
        </is>
      </c>
      <c r="B1" s="1" t="inlineStr">
        <is>
          <t>Asset ID</t>
        </is>
      </c>
      <c r="C1" s="1" t="inlineStr">
        <is>
          <t>Asset Name</t>
        </is>
      </c>
      <c r="D1" s="1" t="inlineStr">
        <is>
          <t>Business Function</t>
        </is>
      </c>
      <c r="E1" s="1" t="inlineStr">
        <is>
          <t>Risk Category</t>
        </is>
      </c>
      <c r="F1" s="1" t="inlineStr">
        <is>
          <t>Threat</t>
        </is>
      </c>
      <c r="G1" s="1" t="inlineStr">
        <is>
          <t>Vulnerability / Weakness</t>
        </is>
      </c>
      <c r="H1" s="1" t="inlineStr">
        <is>
          <t>Risk Scenario</t>
        </is>
      </c>
      <c r="I1" s="1" t="inlineStr">
        <is>
          <t>Existing Controls</t>
        </is>
      </c>
      <c r="J1" s="1" t="inlineStr">
        <is>
          <t>Likelihood (1-5)</t>
        </is>
      </c>
      <c r="K1" s="1" t="inlineStr">
        <is>
          <t>Impact (1-5)</t>
        </is>
      </c>
      <c r="L1" s="1" t="inlineStr">
        <is>
          <t>Inherent Risk Score</t>
        </is>
      </c>
      <c r="M1" s="1" t="inlineStr">
        <is>
          <t>Inherent Risk Rating</t>
        </is>
      </c>
      <c r="N1" s="1" t="inlineStr">
        <is>
          <t>Risk Treatment</t>
        </is>
      </c>
      <c r="O1" s="1" t="inlineStr">
        <is>
          <t>Treatment Action</t>
        </is>
      </c>
      <c r="P1" s="1" t="inlineStr">
        <is>
          <t>Risk Owner</t>
        </is>
      </c>
      <c r="Q1" s="1" t="inlineStr">
        <is>
          <t>Target Date</t>
        </is>
      </c>
      <c r="R1" s="1" t="inlineStr">
        <is>
          <t>Residual Likelihood</t>
        </is>
      </c>
      <c r="S1" s="1" t="inlineStr">
        <is>
          <t>Residual Impact</t>
        </is>
      </c>
      <c r="T1" s="1" t="inlineStr">
        <is>
          <t>Residual Risk Score</t>
        </is>
      </c>
      <c r="U1" s="1" t="inlineStr">
        <is>
          <t>Residual Risk Rating</t>
        </is>
      </c>
      <c r="V1" s="1" t="inlineStr">
        <is>
          <t>Status</t>
        </is>
      </c>
      <c r="W1" s="1" t="inlineStr">
        <is>
          <t>Risk Acceptance</t>
        </is>
      </c>
      <c r="X1" s="1" t="inlineStr">
        <is>
          <t>Notes</t>
        </is>
      </c>
    </row>
    <row r="2">
      <c r="A2" s="2" t="inlineStr">
        <is>
          <t>RISK-001</t>
        </is>
      </c>
      <c r="B2" s="2" t="inlineStr">
        <is>
          <t>AST-005</t>
        </is>
      </c>
      <c r="C2" s="2" t="inlineStr">
        <is>
          <t>Active Directory</t>
        </is>
      </c>
      <c r="D2" s="2" t="inlineStr">
        <is>
          <t>IT Operations</t>
        </is>
      </c>
      <c r="E2" s="2" t="inlineStr">
        <is>
          <t>Identity &amp; Access Management</t>
        </is>
      </c>
      <c r="F2" s="2" t="inlineStr">
        <is>
          <t>Credential compromise</t>
        </is>
      </c>
      <c r="G2" s="2" t="inlineStr">
        <is>
          <t>Privileged accounts do not consistently require MFA</t>
        </is>
      </c>
      <c r="H2" s="2" t="inlineStr">
        <is>
          <t>An attacker compromises privileged credentials and gains unauthorized access to multiple critical systems</t>
        </is>
      </c>
      <c r="I2" s="2" t="inlineStr">
        <is>
          <t>Password authentication; RBAC; SIEM monitoring</t>
        </is>
      </c>
      <c r="J2" s="2" t="n">
        <v>4</v>
      </c>
      <c r="K2" s="2" t="n">
        <v>5</v>
      </c>
      <c r="L2" s="2">
        <f>J2*K2</f>
        <v/>
      </c>
      <c r="M2" s="2">
        <f>IF(L2&gt;=17,"Critical",IF(L2&gt;=10,"High",IF(L2&gt;=5,"Medium","Low")))</f>
        <v/>
      </c>
      <c r="N2" s="2" t="inlineStr">
        <is>
          <t>Mitigate</t>
        </is>
      </c>
      <c r="O2" s="2" t="inlineStr">
        <is>
          <t>Implement MFA for all privileged accounts and monitor authentication exceptions</t>
        </is>
      </c>
      <c r="P2" s="2" t="inlineStr">
        <is>
          <t>IT Security Manager</t>
        </is>
      </c>
      <c r="Q2" s="3" t="inlineStr">
        <is>
          <t>2026-11-07</t>
        </is>
      </c>
      <c r="R2" s="2" t="n">
        <v>2</v>
      </c>
      <c r="S2" s="2" t="n">
        <v>5</v>
      </c>
      <c r="T2" s="2">
        <f>R2*S2</f>
        <v/>
      </c>
      <c r="U2" s="2">
        <f>IF(T2&gt;=17,"Critical",IF(T2&gt;=10,"High",IF(T2&gt;=5,"Medium","Low")))</f>
        <v/>
      </c>
      <c r="V2" s="2" t="inlineStr">
        <is>
          <t>Open</t>
        </is>
      </c>
      <c r="W2" s="2" t="inlineStr">
        <is>
          <t>Not Accepted</t>
        </is>
      </c>
      <c r="X2" s="2" t="inlineStr">
        <is>
          <t>High-value identity infrastructure</t>
        </is>
      </c>
    </row>
    <row r="3">
      <c r="A3" s="2" t="inlineStr">
        <is>
          <t>RISK-002</t>
        </is>
      </c>
      <c r="B3" s="2" t="inlineStr">
        <is>
          <t>AST-001</t>
        </is>
      </c>
      <c r="C3" s="2" t="inlineStr">
        <is>
          <t>Core Banking System</t>
        </is>
      </c>
      <c r="D3" s="2" t="inlineStr">
        <is>
          <t>Banking</t>
        </is>
      </c>
      <c r="E3" s="2" t="inlineStr">
        <is>
          <t>Unauthorized Access</t>
        </is>
      </c>
      <c r="F3" s="2" t="inlineStr">
        <is>
          <t>Account compromise</t>
        </is>
      </c>
      <c r="G3" s="2" t="inlineStr">
        <is>
          <t>Excessive privilege or compromised administrator credentials</t>
        </is>
      </c>
      <c r="H3" s="2" t="inlineStr">
        <is>
          <t>Unauthorized user obtains elevated access to the core banking platform and accesses or alters customer transactions</t>
        </is>
      </c>
      <c r="I3" s="2" t="inlineStr">
        <is>
          <t>RBAC; MFA; SIEM; vulnerability management</t>
        </is>
      </c>
      <c r="J3" s="2" t="n">
        <v>3</v>
      </c>
      <c r="K3" s="2" t="n">
        <v>5</v>
      </c>
      <c r="L3" s="2">
        <f>J3*K3</f>
        <v/>
      </c>
      <c r="M3" s="2">
        <f>IF(L3&gt;=17,"Critical",IF(L3&gt;=10,"High",IF(L3&gt;=5,"Medium","Low")))</f>
        <v/>
      </c>
      <c r="N3" s="2" t="inlineStr">
        <is>
          <t>Mitigate</t>
        </is>
      </c>
      <c r="O3" s="2" t="inlineStr">
        <is>
          <t>Review privileged access quarterly and enforce strong authentication</t>
        </is>
      </c>
      <c r="P3" s="2" t="inlineStr">
        <is>
          <t>Head of Core Banking</t>
        </is>
      </c>
      <c r="Q3" s="3" t="inlineStr">
        <is>
          <t>2026-12-07</t>
        </is>
      </c>
      <c r="R3" s="2" t="n">
        <v>2</v>
      </c>
      <c r="S3" s="2" t="n">
        <v>5</v>
      </c>
      <c r="T3" s="2">
        <f>R3*S3</f>
        <v/>
      </c>
      <c r="U3" s="2">
        <f>IF(T3&gt;=17,"Critical",IF(T3&gt;=10,"High",IF(T3&gt;=5,"Medium","Low")))</f>
        <v/>
      </c>
      <c r="V3" s="2" t="inlineStr">
        <is>
          <t>Open</t>
        </is>
      </c>
      <c r="W3" s="2" t="inlineStr">
        <is>
          <t>Not Accepted</t>
        </is>
      </c>
      <c r="X3" s="2" t="inlineStr">
        <is>
          <t>Critical banking service</t>
        </is>
      </c>
    </row>
    <row r="4">
      <c r="A4" s="2" t="inlineStr">
        <is>
          <t>RISK-003</t>
        </is>
      </c>
      <c r="B4" s="2" t="inlineStr">
        <is>
          <t>AST-002</t>
        </is>
      </c>
      <c r="C4" s="2" t="inlineStr">
        <is>
          <t>Online Banking Platform</t>
        </is>
      </c>
      <c r="D4" s="2" t="inlineStr">
        <is>
          <t>Digital Banking</t>
        </is>
      </c>
      <c r="E4" s="2" t="inlineStr">
        <is>
          <t>Application Security</t>
        </is>
      </c>
      <c r="F4" s="2" t="inlineStr">
        <is>
          <t>Web application attack</t>
        </is>
      </c>
      <c r="G4" s="2" t="inlineStr">
        <is>
          <t>Unpatched or exploitable application vulnerability</t>
        </is>
      </c>
      <c r="H4" s="2" t="inlineStr">
        <is>
          <t>An attacker exploits a vulnerability in the public-facing banking portal to gain unauthorized access or disrupt service</t>
        </is>
      </c>
      <c r="I4" s="2" t="inlineStr">
        <is>
          <t>WAF; MFA; SIEM; vulnerability scanning</t>
        </is>
      </c>
      <c r="J4" s="2" t="n">
        <v>3</v>
      </c>
      <c r="K4" s="2" t="n">
        <v>5</v>
      </c>
      <c r="L4" s="2">
        <f>J4*K4</f>
        <v/>
      </c>
      <c r="M4" s="2">
        <f>IF(L4&gt;=17,"Critical",IF(L4&gt;=10,"High",IF(L4&gt;=5,"Medium","Low")))</f>
        <v/>
      </c>
      <c r="N4" s="2" t="inlineStr">
        <is>
          <t>Mitigate</t>
        </is>
      </c>
      <c r="O4" s="2" t="inlineStr">
        <is>
          <t>Perform regular application security testing and prioritize critical vulnerabilities</t>
        </is>
      </c>
      <c r="P4" s="2" t="inlineStr">
        <is>
          <t>Head of Digital Banking</t>
        </is>
      </c>
      <c r="Q4" s="3" t="inlineStr">
        <is>
          <t>2026-11-22</t>
        </is>
      </c>
      <c r="R4" s="2" t="n">
        <v>2</v>
      </c>
      <c r="S4" s="2" t="n">
        <v>5</v>
      </c>
      <c r="T4" s="2">
        <f>R4*S4</f>
        <v/>
      </c>
      <c r="U4" s="2">
        <f>IF(T4&gt;=17,"Critical",IF(T4&gt;=10,"High",IF(T4&gt;=5,"Medium","Low")))</f>
        <v/>
      </c>
      <c r="V4" s="2" t="inlineStr">
        <is>
          <t>Open</t>
        </is>
      </c>
      <c r="W4" s="2" t="inlineStr">
        <is>
          <t>Not Accepted</t>
        </is>
      </c>
      <c r="X4" s="2" t="inlineStr">
        <is>
          <t>Internet-facing critical service</t>
        </is>
      </c>
    </row>
    <row r="5">
      <c r="A5" s="2" t="inlineStr">
        <is>
          <t>RISK-004</t>
        </is>
      </c>
      <c r="B5" s="2" t="inlineStr">
        <is>
          <t>AST-003</t>
        </is>
      </c>
      <c r="C5" s="2" t="inlineStr">
        <is>
          <t>Mobile Banking Application</t>
        </is>
      </c>
      <c r="D5" s="2" t="inlineStr">
        <is>
          <t>Digital Banking</t>
        </is>
      </c>
      <c r="E5" s="2" t="inlineStr">
        <is>
          <t>Application Security</t>
        </is>
      </c>
      <c r="F5" s="2" t="inlineStr">
        <is>
          <t>Mobile application compromise</t>
        </is>
      </c>
      <c r="G5" s="2" t="inlineStr">
        <is>
          <t>Application vulnerability or insecure API</t>
        </is>
      </c>
      <c r="H5" s="2" t="inlineStr">
        <is>
          <t>An attacker exploits an application or API weakness to access customer information or initiate unauthorized activity</t>
        </is>
      </c>
      <c r="I5" s="2" t="inlineStr">
        <is>
          <t>MFA; secure SDLC; SIEM; vulnerability management</t>
        </is>
      </c>
      <c r="J5" s="2" t="n">
        <v>3</v>
      </c>
      <c r="K5" s="2" t="n">
        <v>5</v>
      </c>
      <c r="L5" s="2">
        <f>J5*K5</f>
        <v/>
      </c>
      <c r="M5" s="2">
        <f>IF(L5&gt;=17,"Critical",IF(L5&gt;=10,"High",IF(L5&gt;=5,"Medium","Low")))</f>
        <v/>
      </c>
      <c r="N5" s="2" t="inlineStr">
        <is>
          <t>Mitigate</t>
        </is>
      </c>
      <c r="O5" s="2" t="inlineStr">
        <is>
          <t>Conduct mobile/API penetration testing and remediate high-risk findings</t>
        </is>
      </c>
      <c r="P5" s="2" t="inlineStr">
        <is>
          <t>Head of Digital Banking</t>
        </is>
      </c>
      <c r="Q5" s="3" t="inlineStr">
        <is>
          <t>2026-12-07</t>
        </is>
      </c>
      <c r="R5" s="2" t="n">
        <v>2</v>
      </c>
      <c r="S5" s="2" t="n">
        <v>5</v>
      </c>
      <c r="T5" s="2">
        <f>R5*S5</f>
        <v/>
      </c>
      <c r="U5" s="2">
        <f>IF(T5&gt;=17,"Critical",IF(T5&gt;=10,"High",IF(T5&gt;=5,"Medium","Low")))</f>
        <v/>
      </c>
      <c r="V5" s="2" t="inlineStr">
        <is>
          <t>Open</t>
        </is>
      </c>
      <c r="W5" s="2" t="inlineStr">
        <is>
          <t>Not Accepted</t>
        </is>
      </c>
      <c r="X5" s="2" t="inlineStr">
        <is>
          <t>Customer-facing application</t>
        </is>
      </c>
    </row>
    <row r="6">
      <c r="A6" s="2" t="inlineStr">
        <is>
          <t>RISK-005</t>
        </is>
      </c>
      <c r="B6" s="2" t="inlineStr">
        <is>
          <t>AST-004</t>
        </is>
      </c>
      <c r="C6" s="2" t="inlineStr">
        <is>
          <t>Payment Processing System</t>
        </is>
      </c>
      <c r="D6" s="2" t="inlineStr">
        <is>
          <t>Payments</t>
        </is>
      </c>
      <c r="E6" s="2" t="inlineStr">
        <is>
          <t>Operational Resilience</t>
        </is>
      </c>
      <c r="F6" s="2" t="inlineStr">
        <is>
          <t>Payment service disruption</t>
        </is>
      </c>
      <c r="G6" s="2" t="inlineStr">
        <is>
          <t>Failure of critical payment component or external dependency</t>
        </is>
      </c>
      <c r="H6" s="2" t="inlineStr">
        <is>
          <t>A technical failure or attack disrupts payment processing and prevents customers from completing transactions</t>
        </is>
      </c>
      <c r="I6" s="2" t="inlineStr">
        <is>
          <t>Network segmentation; SIEM; DR capability</t>
        </is>
      </c>
      <c r="J6" s="2" t="n">
        <v>3</v>
      </c>
      <c r="K6" s="2" t="n">
        <v>5</v>
      </c>
      <c r="L6" s="2">
        <f>J6*K6</f>
        <v/>
      </c>
      <c r="M6" s="2">
        <f>IF(L6&gt;=17,"Critical",IF(L6&gt;=10,"High",IF(L6&gt;=5,"Medium","Low")))</f>
        <v/>
      </c>
      <c r="N6" s="2" t="inlineStr">
        <is>
          <t>Mitigate</t>
        </is>
      </c>
      <c r="O6" s="2" t="inlineStr">
        <is>
          <t>Test payment failover and third-party continuity arrangements</t>
        </is>
      </c>
      <c r="P6" s="2" t="inlineStr">
        <is>
          <t>Head of Payments</t>
        </is>
      </c>
      <c r="Q6" s="3" t="inlineStr">
        <is>
          <t>2026-11-30</t>
        </is>
      </c>
      <c r="R6" s="2" t="n">
        <v>2</v>
      </c>
      <c r="S6" s="2" t="n">
        <v>5</v>
      </c>
      <c r="T6" s="2">
        <f>R6*S6</f>
        <v/>
      </c>
      <c r="U6" s="2">
        <f>IF(T6&gt;=17,"Critical",IF(T6&gt;=10,"High",IF(T6&gt;=5,"Medium","Low")))</f>
        <v/>
      </c>
      <c r="V6" s="2" t="inlineStr">
        <is>
          <t>Open</t>
        </is>
      </c>
      <c r="W6" s="2" t="inlineStr">
        <is>
          <t>Not Accepted</t>
        </is>
      </c>
      <c r="X6" s="2" t="inlineStr">
        <is>
          <t>Critical payment service</t>
        </is>
      </c>
    </row>
    <row r="7">
      <c r="A7" s="2" t="inlineStr">
        <is>
          <t>RISK-006</t>
        </is>
      </c>
      <c r="B7" s="2" t="inlineStr">
        <is>
          <t>AST-006</t>
        </is>
      </c>
      <c r="C7" s="2" t="inlineStr">
        <is>
          <t>SIEM Platform</t>
        </is>
      </c>
      <c r="D7" s="2" t="inlineStr">
        <is>
          <t>Security Operations</t>
        </is>
      </c>
      <c r="E7" s="2" t="inlineStr">
        <is>
          <t>Security Monitoring</t>
        </is>
      </c>
      <c r="F7" s="2" t="inlineStr">
        <is>
          <t>Loss of security visibility</t>
        </is>
      </c>
      <c r="G7" s="2" t="inlineStr">
        <is>
          <t>SIEM outage or incomplete log ingestion</t>
        </is>
      </c>
      <c r="H7" s="2" t="inlineStr">
        <is>
          <t>Security events are not collected or analyzed, delaying detection and response to cyber incidents</t>
        </is>
      </c>
      <c r="I7" s="2" t="inlineStr">
        <is>
          <t>Log monitoring; alerting; redundancy</t>
        </is>
      </c>
      <c r="J7" s="2" t="n">
        <v>3</v>
      </c>
      <c r="K7" s="2" t="n">
        <v>4</v>
      </c>
      <c r="L7" s="2">
        <f>J7*K7</f>
        <v/>
      </c>
      <c r="M7" s="2">
        <f>IF(L7&gt;=17,"Critical",IF(L7&gt;=10,"High",IF(L7&gt;=5,"Medium","Low")))</f>
        <v/>
      </c>
      <c r="N7" s="2" t="inlineStr">
        <is>
          <t>Mitigate</t>
        </is>
      </c>
      <c r="O7" s="2" t="inlineStr">
        <is>
          <t>Implement health monitoring for log sources and SIEM service availability</t>
        </is>
      </c>
      <c r="P7" s="2" t="inlineStr">
        <is>
          <t>SOC Manager</t>
        </is>
      </c>
      <c r="Q7" s="3" t="inlineStr">
        <is>
          <t>2026-12-15</t>
        </is>
      </c>
      <c r="R7" s="2" t="n">
        <v>2</v>
      </c>
      <c r="S7" s="2" t="n">
        <v>4</v>
      </c>
      <c r="T7" s="2">
        <f>R7*S7</f>
        <v/>
      </c>
      <c r="U7" s="2">
        <f>IF(T7&gt;=17,"Critical",IF(T7&gt;=10,"High",IF(T7&gt;=5,"Medium","Low")))</f>
        <v/>
      </c>
      <c r="V7" s="2" t="inlineStr">
        <is>
          <t>Open</t>
        </is>
      </c>
      <c r="W7" s="2" t="inlineStr">
        <is>
          <t>Not Accepted</t>
        </is>
      </c>
      <c r="X7" s="2" t="inlineStr">
        <is>
          <t>Security monitoring dependency</t>
        </is>
      </c>
    </row>
    <row r="8">
      <c r="A8" s="2" t="inlineStr">
        <is>
          <t>RISK-007</t>
        </is>
      </c>
      <c r="B8" s="2" t="inlineStr">
        <is>
          <t>AST-007</t>
        </is>
      </c>
      <c r="C8" s="2" t="inlineStr">
        <is>
          <t>EDR Platform</t>
        </is>
      </c>
      <c r="D8" s="2" t="inlineStr">
        <is>
          <t>Security Operations</t>
        </is>
      </c>
      <c r="E8" s="2" t="inlineStr">
        <is>
          <t>Endpoint Security</t>
        </is>
      </c>
      <c r="F8" s="2" t="inlineStr">
        <is>
          <t>Malware / ransomware</t>
        </is>
      </c>
      <c r="G8" s="2" t="inlineStr">
        <is>
          <t>Endpoint telemetry or protection unavailable</t>
        </is>
      </c>
      <c r="H8" s="2" t="inlineStr">
        <is>
          <t>Malware executes on employee endpoints without timely detection or containment</t>
        </is>
      </c>
      <c r="I8" s="2" t="inlineStr">
        <is>
          <t>EDR; SIEM; disk encryption</t>
        </is>
      </c>
      <c r="J8" s="2" t="n">
        <v>3</v>
      </c>
      <c r="K8" s="2" t="n">
        <v>4</v>
      </c>
      <c r="L8" s="2">
        <f>J8*K8</f>
        <v/>
      </c>
      <c r="M8" s="2">
        <f>IF(L8&gt;=17,"Critical",IF(L8&gt;=10,"High",IF(L8&gt;=5,"Medium","Low")))</f>
        <v/>
      </c>
      <c r="N8" s="2" t="inlineStr">
        <is>
          <t>Mitigate</t>
        </is>
      </c>
      <c r="O8" s="2" t="inlineStr">
        <is>
          <t>Monitor EDR coverage and investigate unmanaged endpoints</t>
        </is>
      </c>
      <c r="P8" s="2" t="inlineStr">
        <is>
          <t>SOC Manager</t>
        </is>
      </c>
      <c r="Q8" s="3" t="inlineStr">
        <is>
          <t>2026-11-30</t>
        </is>
      </c>
      <c r="R8" s="2" t="n">
        <v>2</v>
      </c>
      <c r="S8" s="2" t="n">
        <v>4</v>
      </c>
      <c r="T8" s="2">
        <f>R8*S8</f>
        <v/>
      </c>
      <c r="U8" s="2">
        <f>IF(T8&gt;=17,"Critical",IF(T8&gt;=10,"High",IF(T8&gt;=5,"Medium","Low")))</f>
        <v/>
      </c>
      <c r="V8" s="2" t="inlineStr">
        <is>
          <t>Open</t>
        </is>
      </c>
      <c r="W8" s="2" t="inlineStr">
        <is>
          <t>Not Accepted</t>
        </is>
      </c>
      <c r="X8" s="2" t="inlineStr">
        <is>
          <t>Endpoint protection</t>
        </is>
      </c>
    </row>
    <row r="9">
      <c r="A9" s="2" t="inlineStr">
        <is>
          <t>RISK-008</t>
        </is>
      </c>
      <c r="B9" s="2" t="inlineStr">
        <is>
          <t>AST-008</t>
        </is>
      </c>
      <c r="C9" s="2" t="inlineStr">
        <is>
          <t>Vulnerability Management Platform</t>
        </is>
      </c>
      <c r="D9" s="2" t="inlineStr">
        <is>
          <t>Vulnerability Management</t>
        </is>
      </c>
      <c r="E9" s="2" t="inlineStr">
        <is>
          <t>Patch Management</t>
        </is>
      </c>
      <c r="F9" s="2" t="inlineStr">
        <is>
          <t>Missed vulnerability remediation</t>
        </is>
      </c>
      <c r="G9" s="2" t="inlineStr">
        <is>
          <t>Incomplete asset coverage or stale vulnerability data</t>
        </is>
      </c>
      <c r="H9" s="2" t="inlineStr">
        <is>
          <t>Critical vulnerabilities remain unaddressed because scanning or remediation tracking is incomplete</t>
        </is>
      </c>
      <c r="I9" s="2" t="inlineStr">
        <is>
          <t>Vulnerability scanning; reporting</t>
        </is>
      </c>
      <c r="J9" s="2" t="n">
        <v>3</v>
      </c>
      <c r="K9" s="2" t="n">
        <v>4</v>
      </c>
      <c r="L9" s="2">
        <f>J9*K9</f>
        <v/>
      </c>
      <c r="M9" s="2">
        <f>IF(L9&gt;=17,"Critical",IF(L9&gt;=10,"High",IF(L9&gt;=5,"Medium","Low")))</f>
        <v/>
      </c>
      <c r="N9" s="2" t="inlineStr">
        <is>
          <t>Mitigate</t>
        </is>
      </c>
      <c r="O9" s="2" t="inlineStr">
        <is>
          <t>Reconcile vulnerability scans against the asset inventory and track overdue remediation</t>
        </is>
      </c>
      <c r="P9" s="2" t="inlineStr">
        <is>
          <t>Security Manager</t>
        </is>
      </c>
      <c r="Q9" s="3" t="inlineStr">
        <is>
          <t>2026-11-22</t>
        </is>
      </c>
      <c r="R9" s="2" t="n">
        <v>2</v>
      </c>
      <c r="S9" s="2" t="n">
        <v>4</v>
      </c>
      <c r="T9" s="2">
        <f>R9*S9</f>
        <v/>
      </c>
      <c r="U9" s="2">
        <f>IF(T9&gt;=17,"Critical",IF(T9&gt;=10,"High",IF(T9&gt;=5,"Medium","Low")))</f>
        <v/>
      </c>
      <c r="V9" s="2" t="inlineStr">
        <is>
          <t>Open</t>
        </is>
      </c>
      <c r="W9" s="2" t="inlineStr">
        <is>
          <t>Not Accepted</t>
        </is>
      </c>
      <c r="X9" s="2" t="inlineStr">
        <is>
          <t>Supports vulnerability governance</t>
        </is>
      </c>
    </row>
    <row r="10">
      <c r="A10" s="2" t="inlineStr">
        <is>
          <t>RISK-009</t>
        </is>
      </c>
      <c r="B10" s="2" t="inlineStr">
        <is>
          <t>AST-009</t>
        </is>
      </c>
      <c r="C10" s="2" t="inlineStr">
        <is>
          <t>Firewall Infrastructure</t>
        </is>
      </c>
      <c r="D10" s="2" t="inlineStr">
        <is>
          <t>Network Security</t>
        </is>
      </c>
      <c r="E10" s="2" t="inlineStr">
        <is>
          <t>Network Security</t>
        </is>
      </c>
      <c r="F10" s="2" t="inlineStr">
        <is>
          <t>Network intrusion</t>
        </is>
      </c>
      <c r="G10" s="2" t="inlineStr">
        <is>
          <t>Misconfiguration or ineffective filtering</t>
        </is>
      </c>
      <c r="H10" s="2" t="inlineStr">
        <is>
          <t>An attacker bypasses or exploits network security controls to reach internal systems</t>
        </is>
      </c>
      <c r="I10" s="2" t="inlineStr">
        <is>
          <t>Firewall rules; network segmentation; IDS/IPS; SIEM</t>
        </is>
      </c>
      <c r="J10" s="2" t="n">
        <v>3</v>
      </c>
      <c r="K10" s="2" t="n">
        <v>5</v>
      </c>
      <c r="L10" s="2">
        <f>J10*K10</f>
        <v/>
      </c>
      <c r="M10" s="2">
        <f>IF(L10&gt;=17,"Critical",IF(L10&gt;=10,"High",IF(L10&gt;=5,"Medium","Low")))</f>
        <v/>
      </c>
      <c r="N10" s="2" t="inlineStr">
        <is>
          <t>Mitigate</t>
        </is>
      </c>
      <c r="O10" s="2" t="inlineStr">
        <is>
          <t>Perform periodic firewall rule review and network security testing</t>
        </is>
      </c>
      <c r="P10" s="2" t="inlineStr">
        <is>
          <t>Network Security Manager</t>
        </is>
      </c>
      <c r="Q10" s="3" t="inlineStr">
        <is>
          <t>2026-12-15</t>
        </is>
      </c>
      <c r="R10" s="2" t="n">
        <v>2</v>
      </c>
      <c r="S10" s="2" t="n">
        <v>5</v>
      </c>
      <c r="T10" s="2">
        <f>R10*S10</f>
        <v/>
      </c>
      <c r="U10" s="2">
        <f>IF(T10&gt;=17,"Critical",IF(T10&gt;=10,"High",IF(T10&gt;=5,"Medium","Low")))</f>
        <v/>
      </c>
      <c r="V10" s="2" t="inlineStr">
        <is>
          <t>Open</t>
        </is>
      </c>
      <c r="W10" s="2" t="inlineStr">
        <is>
          <t>Not Accepted</t>
        </is>
      </c>
      <c r="X10" s="2" t="inlineStr">
        <is>
          <t>Critical network boundary</t>
        </is>
      </c>
    </row>
    <row r="11">
      <c r="A11" s="2" t="inlineStr">
        <is>
          <t>RISK-010</t>
        </is>
      </c>
      <c r="B11" s="2" t="inlineStr">
        <is>
          <t>AST-010</t>
        </is>
      </c>
      <c r="C11" s="2" t="inlineStr">
        <is>
          <t>Backup Infrastructure</t>
        </is>
      </c>
      <c r="D11" s="2" t="inlineStr">
        <is>
          <t>Resilience</t>
        </is>
      </c>
      <c r="E11" s="2" t="inlineStr">
        <is>
          <t>Business Continuity</t>
        </is>
      </c>
      <c r="F11" s="2" t="inlineStr">
        <is>
          <t>Data loss / ransomware</t>
        </is>
      </c>
      <c r="G11" s="2" t="inlineStr">
        <is>
          <t>Backups unavailable, corrupted or accessible to attackers</t>
        </is>
      </c>
      <c r="H11" s="2" t="inlineStr">
        <is>
          <t>A major cyber incident prevents recovery because critical backups are unavailable or compromised</t>
        </is>
      </c>
      <c r="I11" s="2" t="inlineStr">
        <is>
          <t>Encryption; access control; immutable backups; monitoring</t>
        </is>
      </c>
      <c r="J11" s="2" t="n">
        <v>3</v>
      </c>
      <c r="K11" s="2" t="n">
        <v>5</v>
      </c>
      <c r="L11" s="2">
        <f>J11*K11</f>
        <v/>
      </c>
      <c r="M11" s="2">
        <f>IF(L11&gt;=17,"Critical",IF(L11&gt;=10,"High",IF(L11&gt;=5,"Medium","Low")))</f>
        <v/>
      </c>
      <c r="N11" s="2" t="inlineStr">
        <is>
          <t>Mitigate</t>
        </is>
      </c>
      <c r="O11" s="2" t="inlineStr">
        <is>
          <t>Conduct quarterly restore tests and verify immutable backup coverage</t>
        </is>
      </c>
      <c r="P11" s="2" t="inlineStr">
        <is>
          <t>IT Operations Manager</t>
        </is>
      </c>
      <c r="Q11" s="3" t="inlineStr">
        <is>
          <t>2026-11-30</t>
        </is>
      </c>
      <c r="R11" s="2" t="n">
        <v>2</v>
      </c>
      <c r="S11" s="2" t="n">
        <v>5</v>
      </c>
      <c r="T11" s="2">
        <f>R11*S11</f>
        <v/>
      </c>
      <c r="U11" s="2">
        <f>IF(T11&gt;=17,"Critical",IF(T11&gt;=10,"High",IF(T11&gt;=5,"Medium","Low")))</f>
        <v/>
      </c>
      <c r="V11" s="2" t="inlineStr">
        <is>
          <t>Open</t>
        </is>
      </c>
      <c r="W11" s="2" t="inlineStr">
        <is>
          <t>Not Accepted</t>
        </is>
      </c>
      <c r="X11" s="2" t="inlineStr">
        <is>
          <t>Critical recovery capability</t>
        </is>
      </c>
    </row>
    <row r="12">
      <c r="A12" s="2" t="inlineStr">
        <is>
          <t>RISK-011</t>
        </is>
      </c>
      <c r="B12" s="2" t="inlineStr">
        <is>
          <t>AST-011</t>
        </is>
      </c>
      <c r="C12" s="2" t="inlineStr">
        <is>
          <t>CRM Platform</t>
        </is>
      </c>
      <c r="D12" s="2" t="inlineStr">
        <is>
          <t>Customer Management</t>
        </is>
      </c>
      <c r="E12" s="2" t="inlineStr">
        <is>
          <t>Third-Party ICT Risk</t>
        </is>
      </c>
      <c r="F12" s="2" t="inlineStr">
        <is>
          <t>Cloud/SaaS compromise</t>
        </is>
      </c>
      <c r="G12" s="2" t="inlineStr">
        <is>
          <t>Weak supplier security controls or service disruption</t>
        </is>
      </c>
      <c r="H12" s="2" t="inlineStr">
        <is>
          <t>A compromise or outage at the CRM provider exposes customer information or disrupts customer operations</t>
        </is>
      </c>
      <c r="I12" s="2" t="inlineStr">
        <is>
          <t>MFA; RBAC; logging; supplier assessment</t>
        </is>
      </c>
      <c r="J12" s="2" t="n">
        <v>3</v>
      </c>
      <c r="K12" s="2" t="n">
        <v>4</v>
      </c>
      <c r="L12" s="2">
        <f>J12*K12</f>
        <v/>
      </c>
      <c r="M12" s="2">
        <f>IF(L12&gt;=17,"Critical",IF(L12&gt;=10,"High",IF(L12&gt;=5,"Medium","Low")))</f>
        <v/>
      </c>
      <c r="N12" s="2" t="inlineStr">
        <is>
          <t>Mitigate</t>
        </is>
      </c>
      <c r="O12" s="2" t="inlineStr">
        <is>
          <t>Perform formal ICT supplier assessment and review contractual security requirements</t>
        </is>
      </c>
      <c r="P12" s="2" t="inlineStr">
        <is>
          <t>Customer Operations Manager</t>
        </is>
      </c>
      <c r="Q12" s="3" t="inlineStr">
        <is>
          <t>2026-12-31</t>
        </is>
      </c>
      <c r="R12" s="2" t="n">
        <v>2</v>
      </c>
      <c r="S12" s="2" t="n">
        <v>4</v>
      </c>
      <c r="T12" s="2">
        <f>R12*S12</f>
        <v/>
      </c>
      <c r="U12" s="2">
        <f>IF(T12&gt;=17,"Critical",IF(T12&gt;=10,"High",IF(T12&gt;=5,"Medium","Low")))</f>
        <v/>
      </c>
      <c r="V12" s="2" t="inlineStr">
        <is>
          <t>Open</t>
        </is>
      </c>
      <c r="W12" s="2" t="inlineStr">
        <is>
          <t>Not Accepted</t>
        </is>
      </c>
      <c r="X12" s="2" t="inlineStr">
        <is>
          <t>Third-party dependency</t>
        </is>
      </c>
    </row>
    <row r="13">
      <c r="A13" s="2" t="inlineStr">
        <is>
          <t>RISK-012</t>
        </is>
      </c>
      <c r="B13" s="2" t="inlineStr">
        <is>
          <t>AST-012</t>
        </is>
      </c>
      <c r="C13" s="2" t="inlineStr">
        <is>
          <t>Corporate Email</t>
        </is>
      </c>
      <c r="D13" s="2" t="inlineStr">
        <is>
          <t>Corporate Communication</t>
        </is>
      </c>
      <c r="E13" s="2" t="inlineStr">
        <is>
          <t>Phishing</t>
        </is>
      </c>
      <c r="F13" s="2" t="inlineStr">
        <is>
          <t>Phishing / Business Email Compromise</t>
        </is>
      </c>
      <c r="G13" s="2" t="inlineStr">
        <is>
          <t>User credentials or sessions compromised through social engineering</t>
        </is>
      </c>
      <c r="H13" s="2" t="inlineStr">
        <is>
          <t>An attacker compromises an employee mailbox and uses it to access information or conduct fraudulent activity</t>
        </is>
      </c>
      <c r="I13" s="2" t="inlineStr">
        <is>
          <t>MFA; anti-phishing; EDR; email security</t>
        </is>
      </c>
      <c r="J13" s="2" t="n">
        <v>4</v>
      </c>
      <c r="K13" s="2" t="n">
        <v>4</v>
      </c>
      <c r="L13" s="2">
        <f>J13*K13</f>
        <v/>
      </c>
      <c r="M13" s="2">
        <f>IF(L13&gt;=17,"Critical",IF(L13&gt;=10,"High",IF(L13&gt;=5,"Medium","Low")))</f>
        <v/>
      </c>
      <c r="N13" s="2" t="inlineStr">
        <is>
          <t>Mitigate</t>
        </is>
      </c>
      <c r="O13" s="2" t="inlineStr">
        <is>
          <t>Strengthen phishing-resistant MFA and conduct targeted awareness testing</t>
        </is>
      </c>
      <c r="P13" s="2" t="inlineStr">
        <is>
          <t>IT Operations Manager</t>
        </is>
      </c>
      <c r="Q13" s="3" t="inlineStr">
        <is>
          <t>2026-12-15</t>
        </is>
      </c>
      <c r="R13" s="2" t="n">
        <v>2</v>
      </c>
      <c r="S13" s="2" t="n">
        <v>4</v>
      </c>
      <c r="T13" s="2">
        <f>R13*S13</f>
        <v/>
      </c>
      <c r="U13" s="2">
        <f>IF(T13&gt;=17,"Critical",IF(T13&gt;=10,"High",IF(T13&gt;=5,"Medium","Low")))</f>
        <v/>
      </c>
      <c r="V13" s="2" t="inlineStr">
        <is>
          <t>Open</t>
        </is>
      </c>
      <c r="W13" s="2" t="inlineStr">
        <is>
          <t>Not Accepted</t>
        </is>
      </c>
      <c r="X13" s="2" t="inlineStr">
        <is>
          <t>High-volume attack vector</t>
        </is>
      </c>
    </row>
    <row r="14">
      <c r="A14" s="2" t="inlineStr">
        <is>
          <t>RISK-013</t>
        </is>
      </c>
      <c r="B14" s="2" t="inlineStr">
        <is>
          <t>AST-013</t>
        </is>
      </c>
      <c r="C14" s="2" t="inlineStr">
        <is>
          <t>Employee Laptops</t>
        </is>
      </c>
      <c r="D14" s="2" t="inlineStr">
        <is>
          <t>Workforce</t>
        </is>
      </c>
      <c r="E14" s="2" t="inlineStr">
        <is>
          <t>Endpoint Security</t>
        </is>
      </c>
      <c r="F14" s="2" t="inlineStr">
        <is>
          <t>Lost or stolen device</t>
        </is>
      </c>
      <c r="G14" s="2" t="inlineStr">
        <is>
          <t>Sensitive information exposed on endpoint</t>
        </is>
      </c>
      <c r="H14" s="2" t="inlineStr">
        <is>
          <t>Loss or theft of an employee device exposes business information or enables unauthorized access</t>
        </is>
      </c>
      <c r="I14" s="2" t="inlineStr">
        <is>
          <t>EDR; disk encryption; MFA; MDM</t>
        </is>
      </c>
      <c r="J14" s="2" t="n">
        <v>3</v>
      </c>
      <c r="K14" s="2" t="n">
        <v>3</v>
      </c>
      <c r="L14" s="2">
        <f>J14*K14</f>
        <v/>
      </c>
      <c r="M14" s="2">
        <f>IF(L14&gt;=17,"Critical",IF(L14&gt;=10,"High",IF(L14&gt;=5,"Medium","Low")))</f>
        <v/>
      </c>
      <c r="N14" s="2" t="inlineStr">
        <is>
          <t>Mitigate</t>
        </is>
      </c>
      <c r="O14" s="2" t="inlineStr">
        <is>
          <t>Verify encryption and MDM coverage across all managed endpoints</t>
        </is>
      </c>
      <c r="P14" s="2" t="inlineStr">
        <is>
          <t>IT Operations Manager</t>
        </is>
      </c>
      <c r="Q14" s="3" t="inlineStr">
        <is>
          <t>2026-11-30</t>
        </is>
      </c>
      <c r="R14" s="2" t="n">
        <v>2</v>
      </c>
      <c r="S14" s="2" t="n">
        <v>3</v>
      </c>
      <c r="T14" s="2">
        <f>R14*S14</f>
        <v/>
      </c>
      <c r="U14" s="2">
        <f>IF(T14&gt;=17,"Critical",IF(T14&gt;=10,"High",IF(T14&gt;=5,"Medium","Low")))</f>
        <v/>
      </c>
      <c r="V14" s="2" t="inlineStr">
        <is>
          <t>Open</t>
        </is>
      </c>
      <c r="W14" s="2" t="inlineStr">
        <is>
          <t>Not Accepted</t>
        </is>
      </c>
      <c r="X14" s="2" t="inlineStr">
        <is>
          <t>Endpoint fleet</t>
        </is>
      </c>
    </row>
    <row r="15">
      <c r="A15" s="2" t="inlineStr">
        <is>
          <t>RISK-014</t>
        </is>
      </c>
      <c r="B15" s="2" t="inlineStr">
        <is>
          <t>AST-014</t>
        </is>
      </c>
      <c r="C15" s="2" t="inlineStr">
        <is>
          <t>Database Infrastructure</t>
        </is>
      </c>
      <c r="D15" s="2" t="inlineStr">
        <is>
          <t>Data Management</t>
        </is>
      </c>
      <c r="E15" s="2" t="inlineStr">
        <is>
          <t>Data Protection</t>
        </is>
      </c>
      <c r="F15" s="2" t="inlineStr">
        <is>
          <t>Data breach</t>
        </is>
      </c>
      <c r="G15" s="2" t="inlineStr">
        <is>
          <t>Unauthorized database access</t>
        </is>
      </c>
      <c r="H15" s="2" t="inlineStr">
        <is>
          <t>An attacker or unauthorized insider obtains access to sensitive banking and transaction data</t>
        </is>
      </c>
      <c r="I15" s="2" t="inlineStr">
        <is>
          <t>Encryption; RBAC; MFA; backup; SIEM</t>
        </is>
      </c>
      <c r="J15" s="2" t="n">
        <v>3</v>
      </c>
      <c r="K15" s="2" t="n">
        <v>5</v>
      </c>
      <c r="L15" s="2">
        <f>J15*K15</f>
        <v/>
      </c>
      <c r="M15" s="2">
        <f>IF(L15&gt;=17,"Critical",IF(L15&gt;=10,"High",IF(L15&gt;=5,"Medium","Low")))</f>
        <v/>
      </c>
      <c r="N15" s="2" t="inlineStr">
        <is>
          <t>Mitigate</t>
        </is>
      </c>
      <c r="O15" s="2" t="inlineStr">
        <is>
          <t>Review database privileged access and implement enhanced monitoring for sensitive queries</t>
        </is>
      </c>
      <c r="P15" s="2" t="inlineStr">
        <is>
          <t>Database Manager</t>
        </is>
      </c>
      <c r="Q15" s="3" t="inlineStr">
        <is>
          <t>2026-12-15</t>
        </is>
      </c>
      <c r="R15" s="2" t="n">
        <v>2</v>
      </c>
      <c r="S15" s="2" t="n">
        <v>5</v>
      </c>
      <c r="T15" s="2">
        <f>R15*S15</f>
        <v/>
      </c>
      <c r="U15" s="2">
        <f>IF(T15&gt;=17,"Critical",IF(T15&gt;=10,"High",IF(T15&gt;=5,"Medium","Low")))</f>
        <v/>
      </c>
      <c r="V15" s="2" t="inlineStr">
        <is>
          <t>Open</t>
        </is>
      </c>
      <c r="W15" s="2" t="inlineStr">
        <is>
          <t>Not Accepted</t>
        </is>
      </c>
      <c r="X15" s="2" t="inlineStr">
        <is>
          <t>Restricted banking data</t>
        </is>
      </c>
    </row>
    <row r="16">
      <c r="A16" s="2" t="inlineStr">
        <is>
          <t>RISK-015</t>
        </is>
      </c>
      <c r="B16" s="2" t="inlineStr">
        <is>
          <t>AST-015</t>
        </is>
      </c>
      <c r="C16" s="2" t="inlineStr">
        <is>
          <t>Network Infrastructure</t>
        </is>
      </c>
      <c r="D16" s="2" t="inlineStr">
        <is>
          <t>IT Operations</t>
        </is>
      </c>
      <c r="E16" s="2" t="inlineStr">
        <is>
          <t>Operational Resilience</t>
        </is>
      </c>
      <c r="F16" s="2" t="inlineStr">
        <is>
          <t>Network outage</t>
        </is>
      </c>
      <c r="G16" s="2" t="inlineStr">
        <is>
          <t>Hardware failure, configuration error or denial-of-service</t>
        </is>
      </c>
      <c r="H16" s="2" t="inlineStr">
        <is>
          <t>Network disruption prevents access to critical banking and security services</t>
        </is>
      </c>
      <c r="I16" s="2" t="inlineStr">
        <is>
          <t>Network monitoring; configuration backup; segmentation</t>
        </is>
      </c>
      <c r="J16" s="2" t="n">
        <v>3</v>
      </c>
      <c r="K16" s="2" t="n">
        <v>5</v>
      </c>
      <c r="L16" s="2">
        <f>J16*K16</f>
        <v/>
      </c>
      <c r="M16" s="2">
        <f>IF(L16&gt;=17,"Critical",IF(L16&gt;=10,"High",IF(L16&gt;=5,"Medium","Low")))</f>
        <v/>
      </c>
      <c r="N16" s="2" t="inlineStr">
        <is>
          <t>Mitigate</t>
        </is>
      </c>
      <c r="O16" s="2" t="inlineStr">
        <is>
          <t>Test network redundancy and maintain current configurations and recovery procedures</t>
        </is>
      </c>
      <c r="P16" s="2" t="inlineStr">
        <is>
          <t>Network Manager</t>
        </is>
      </c>
      <c r="Q16" s="3" t="inlineStr">
        <is>
          <t>2026-12-31</t>
        </is>
      </c>
      <c r="R16" s="2" t="n">
        <v>2</v>
      </c>
      <c r="S16" s="2" t="n">
        <v>5</v>
      </c>
      <c r="T16" s="2">
        <f>R16*S16</f>
        <v/>
      </c>
      <c r="U16" s="2">
        <f>IF(T16&gt;=17,"Critical",IF(T16&gt;=10,"High",IF(T16&gt;=5,"Medium","Low")))</f>
        <v/>
      </c>
      <c r="V16" s="2" t="inlineStr">
        <is>
          <t>Open</t>
        </is>
      </c>
      <c r="W16" s="2" t="inlineStr">
        <is>
          <t>Not Accepted</t>
        </is>
      </c>
      <c r="X16" s="2" t="inlineStr">
        <is>
          <t>Critical shared dependency</t>
        </is>
      </c>
    </row>
  </sheetData>
  <autoFilter ref="A1:X16"/>
  <conditionalFormatting sqref="L2:L16">
    <cfRule type="expression" priority="1" dxfId="0">
      <formula>L2&gt;=17</formula>
    </cfRule>
    <cfRule type="expression" priority="2" dxfId="1">
      <formula>AND(L2&gt;=10,L2&lt;17)</formula>
    </cfRule>
    <cfRule type="expression" priority="3" dxfId="2">
      <formula>AND(L2&gt;=5,L2&lt;10)</formula>
    </cfRule>
    <cfRule type="expression" priority="4" dxfId="3">
      <formula>L2&lt;5</formula>
    </cfRule>
  </conditionalFormatting>
  <conditionalFormatting sqref="T2:T16">
    <cfRule type="expression" priority="5" dxfId="0">
      <formula>T2&gt;=17</formula>
    </cfRule>
    <cfRule type="expression" priority="6" dxfId="1">
      <formula>AND(T2&gt;=10,T2&lt;17)</formula>
    </cfRule>
    <cfRule type="expression" priority="7" dxfId="2">
      <formula>AND(T2&gt;=5,T2&lt;10)</formula>
    </cfRule>
    <cfRule type="expression" priority="8" dxfId="3">
      <formula>T2&lt;5</formula>
    </cfRule>
  </conditionalFormatting>
  <dataValidations count="7">
    <dataValidation sqref="J2:J500" showDropDown="0" showInputMessage="0" showErrorMessage="0" allowBlank="1" type="list">
      <formula1>"1,2,3,4,5"</formula1>
    </dataValidation>
    <dataValidation sqref="K2:K500" showDropDown="0" showInputMessage="0" showErrorMessage="0" allowBlank="1" type="list">
      <formula1>"1,2,3,4,5"</formula1>
    </dataValidation>
    <dataValidation sqref="R2:R500" showDropDown="0" showInputMessage="0" showErrorMessage="0" allowBlank="1" type="list">
      <formula1>"1,2,3,4,5"</formula1>
    </dataValidation>
    <dataValidation sqref="S2:S500" showDropDown="0" showInputMessage="0" showErrorMessage="0" allowBlank="1" type="list">
      <formula1>"1,2,3,4,5"</formula1>
    </dataValidation>
    <dataValidation sqref="N2:N500" showDropDown="0" showInputMessage="0" showErrorMessage="0" allowBlank="1" type="list">
      <formula1>"Avoid,Mitigate,Transfer,Accept"</formula1>
    </dataValidation>
    <dataValidation sqref="V2:V500" showDropDown="0" showInputMessage="0" showErrorMessage="0" allowBlank="1" type="list">
      <formula1>"Open,In Progress,Closed,Accepted,Overdue"</formula1>
    </dataValidation>
    <dataValidation sqref="W2:W500" showDropDown="0" showInputMessage="0" showErrorMessage="0" allowBlank="1" type="list">
      <formula1>"Not Accepted,Pending Approval,Accepted"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5" customWidth="1" min="3" max="3"/>
    <col width="16" customWidth="1" min="4" max="4"/>
    <col width="16" customWidth="1" min="5" max="5"/>
    <col width="16" customWidth="1" min="6" max="6"/>
  </cols>
  <sheetData>
    <row r="1">
      <c r="A1" s="1" t="n"/>
    </row>
    <row r="2">
      <c r="A2" s="4" t="inlineStr">
        <is>
          <t>Risk Score</t>
        </is>
      </c>
      <c r="B2" s="4" t="inlineStr">
        <is>
          <t>Rating</t>
        </is>
      </c>
      <c r="C2" s="4" t="inlineStr">
        <is>
          <t>Interpretation</t>
        </is>
      </c>
    </row>
    <row r="3">
      <c r="A3" s="4" t="n">
        <v>1</v>
      </c>
      <c r="B3" s="4" t="inlineStr">
        <is>
          <t>Low</t>
        </is>
      </c>
      <c r="C3" s="4" t="inlineStr">
        <is>
          <t>Limited risk; routine controls generally sufficient</t>
        </is>
      </c>
    </row>
    <row r="4">
      <c r="A4" s="4" t="n">
        <v>2</v>
      </c>
      <c r="B4" s="4" t="inlineStr">
        <is>
          <t>Low</t>
        </is>
      </c>
      <c r="C4" s="4" t="inlineStr">
        <is>
          <t>Limited risk; routine controls generally sufficient</t>
        </is>
      </c>
    </row>
    <row r="5">
      <c r="A5" s="4" t="n">
        <v>3</v>
      </c>
      <c r="B5" s="4" t="inlineStr">
        <is>
          <t>Low</t>
        </is>
      </c>
      <c r="C5" s="4" t="inlineStr">
        <is>
          <t>Limited risk; routine controls generally sufficient</t>
        </is>
      </c>
    </row>
    <row r="6">
      <c r="A6" s="4" t="n">
        <v>4</v>
      </c>
      <c r="B6" s="4" t="inlineStr">
        <is>
          <t>Low</t>
        </is>
      </c>
      <c r="C6" s="4" t="inlineStr">
        <is>
          <t>Limited risk; routine controls generally sufficient</t>
        </is>
      </c>
    </row>
    <row r="7">
      <c r="A7" s="4" t="n">
        <v>5</v>
      </c>
      <c r="B7" s="4" t="inlineStr">
        <is>
          <t>Medium</t>
        </is>
      </c>
      <c r="C7" s="4" t="inlineStr">
        <is>
          <t>Requires management attention</t>
        </is>
      </c>
    </row>
    <row r="8">
      <c r="A8" s="4" t="n">
        <v>6</v>
      </c>
      <c r="B8" s="4" t="inlineStr">
        <is>
          <t>Medium</t>
        </is>
      </c>
      <c r="C8" s="4" t="inlineStr">
        <is>
          <t>Requires management attention</t>
        </is>
      </c>
    </row>
    <row r="9">
      <c r="A9" s="4" t="n">
        <v>7</v>
      </c>
      <c r="B9" s="4" t="inlineStr">
        <is>
          <t>Medium</t>
        </is>
      </c>
      <c r="C9" s="4" t="inlineStr">
        <is>
          <t>Requires management attention</t>
        </is>
      </c>
    </row>
    <row r="10">
      <c r="A10" s="4" t="n">
        <v>8</v>
      </c>
      <c r="B10" s="4" t="inlineStr">
        <is>
          <t>Medium</t>
        </is>
      </c>
      <c r="C10" s="4" t="inlineStr">
        <is>
          <t>Requires management attention</t>
        </is>
      </c>
    </row>
    <row r="11">
      <c r="A11" s="4" t="n">
        <v>9</v>
      </c>
      <c r="B11" s="4" t="inlineStr">
        <is>
          <t>Medium</t>
        </is>
      </c>
      <c r="C11" s="4" t="inlineStr">
        <is>
          <t>Requires management attention</t>
        </is>
      </c>
    </row>
    <row r="12">
      <c r="A12" s="4" t="n">
        <v>10</v>
      </c>
      <c r="B12" s="4" t="inlineStr">
        <is>
          <t>High</t>
        </is>
      </c>
      <c r="C12" s="4" t="inlineStr">
        <is>
          <t>Significant risk requiring treatment</t>
        </is>
      </c>
    </row>
    <row r="13">
      <c r="A13" s="4" t="n">
        <v>11</v>
      </c>
      <c r="B13" s="4" t="inlineStr">
        <is>
          <t>High</t>
        </is>
      </c>
      <c r="C13" s="4" t="inlineStr">
        <is>
          <t>Significant risk requiring treatment</t>
        </is>
      </c>
    </row>
    <row r="14">
      <c r="A14" s="4" t="n">
        <v>12</v>
      </c>
      <c r="B14" s="4" t="inlineStr">
        <is>
          <t>High</t>
        </is>
      </c>
      <c r="C14" s="4" t="inlineStr">
        <is>
          <t>Significant risk requiring treatment</t>
        </is>
      </c>
    </row>
    <row r="15">
      <c r="A15" s="4" t="n">
        <v>13</v>
      </c>
      <c r="B15" s="4" t="inlineStr">
        <is>
          <t>High</t>
        </is>
      </c>
      <c r="C15" s="4" t="inlineStr">
        <is>
          <t>Significant risk requiring treatment</t>
        </is>
      </c>
    </row>
    <row r="16">
      <c r="A16" s="4" t="n">
        <v>14</v>
      </c>
      <c r="B16" s="4" t="inlineStr">
        <is>
          <t>High</t>
        </is>
      </c>
      <c r="C16" s="4" t="inlineStr">
        <is>
          <t>Significant risk requiring treatment</t>
        </is>
      </c>
    </row>
    <row r="17">
      <c r="A17" s="4" t="n">
        <v>15</v>
      </c>
      <c r="B17" s="4" t="inlineStr">
        <is>
          <t>High</t>
        </is>
      </c>
      <c r="C17" s="4" t="inlineStr">
        <is>
          <t>Significant risk requiring treatment</t>
        </is>
      </c>
    </row>
    <row r="18">
      <c r="A18" s="4" t="n">
        <v>16</v>
      </c>
      <c r="B18" s="4" t="inlineStr">
        <is>
          <t>High</t>
        </is>
      </c>
      <c r="C18" s="4" t="inlineStr">
        <is>
          <t>Significant risk requiring treatment</t>
        </is>
      </c>
    </row>
    <row r="19">
      <c r="A19" s="4" t="n">
        <v>17</v>
      </c>
      <c r="B19" s="4" t="inlineStr">
        <is>
          <t>Critical</t>
        </is>
      </c>
      <c r="C19" s="4" t="inlineStr">
        <is>
          <t>Severe risk requiring urgent treatment</t>
        </is>
      </c>
    </row>
    <row r="20">
      <c r="A20" s="4" t="n">
        <v>18</v>
      </c>
      <c r="B20" s="4" t="inlineStr">
        <is>
          <t>Critical</t>
        </is>
      </c>
      <c r="C20" s="4" t="inlineStr">
        <is>
          <t>Severe risk requiring urgent treatment</t>
        </is>
      </c>
    </row>
    <row r="21">
      <c r="A21" s="4" t="n">
        <v>19</v>
      </c>
      <c r="B21" s="4" t="inlineStr">
        <is>
          <t>Critical</t>
        </is>
      </c>
      <c r="C21" s="4" t="inlineStr">
        <is>
          <t>Severe risk requiring urgent treatment</t>
        </is>
      </c>
    </row>
    <row r="22">
      <c r="A22" s="4" t="n">
        <v>20</v>
      </c>
      <c r="B22" s="4" t="inlineStr">
        <is>
          <t>Critical</t>
        </is>
      </c>
      <c r="C22" s="4" t="inlineStr">
        <is>
          <t>Severe risk requiring urgent treatment</t>
        </is>
      </c>
    </row>
    <row r="23">
      <c r="A23" s="4" t="n">
        <v>21</v>
      </c>
      <c r="B23" s="4" t="inlineStr">
        <is>
          <t>Critical</t>
        </is>
      </c>
      <c r="C23" s="4" t="inlineStr">
        <is>
          <t>Severe risk requiring urgent treatment</t>
        </is>
      </c>
    </row>
    <row r="24">
      <c r="A24" s="4" t="n">
        <v>22</v>
      </c>
      <c r="B24" s="4" t="inlineStr">
        <is>
          <t>Critical</t>
        </is>
      </c>
      <c r="C24" s="4" t="inlineStr">
        <is>
          <t>Severe risk requiring urgent treatment</t>
        </is>
      </c>
    </row>
    <row r="25">
      <c r="A25" s="4" t="n">
        <v>23</v>
      </c>
      <c r="B25" s="4" t="inlineStr">
        <is>
          <t>Critical</t>
        </is>
      </c>
      <c r="C25" s="4" t="inlineStr">
        <is>
          <t>Severe risk requiring urgent treatment</t>
        </is>
      </c>
    </row>
    <row r="26">
      <c r="A26" s="4" t="n">
        <v>24</v>
      </c>
      <c r="B26" s="4" t="inlineStr">
        <is>
          <t>Critical</t>
        </is>
      </c>
      <c r="C26" s="4" t="inlineStr">
        <is>
          <t>Severe risk requiring urgent treatment</t>
        </is>
      </c>
    </row>
    <row r="27">
      <c r="A27" s="4" t="n">
        <v>25</v>
      </c>
      <c r="B27" s="4" t="inlineStr">
        <is>
          <t>Critical</t>
        </is>
      </c>
      <c r="C27" s="4" t="inlineStr">
        <is>
          <t>Severe risk requiring urgent treatment</t>
        </is>
      </c>
    </row>
    <row r="30">
      <c r="A30" s="5" t="inlineStr">
        <is>
          <t>5×5 Likelihood × Impact Matrix</t>
        </is>
      </c>
    </row>
    <row r="31">
      <c r="A31" t="inlineStr">
        <is>
          <t>Likelihood \ Impact</t>
        </is>
      </c>
      <c r="B31" t="n">
        <v>1</v>
      </c>
      <c r="C31" t="n">
        <v>2</v>
      </c>
      <c r="D31" t="n">
        <v>3</v>
      </c>
      <c r="E31" t="n">
        <v>4</v>
      </c>
      <c r="F31" t="n">
        <v>5</v>
      </c>
    </row>
    <row r="32">
      <c r="A32" t="n">
        <v>1</v>
      </c>
      <c r="B32" s="6" t="n">
        <v>1</v>
      </c>
      <c r="C32" s="6" t="n">
        <v>2</v>
      </c>
      <c r="D32" s="6" t="n">
        <v>3</v>
      </c>
      <c r="E32" s="6" t="n">
        <v>4</v>
      </c>
      <c r="F32" s="7" t="n">
        <v>5</v>
      </c>
    </row>
    <row r="33">
      <c r="A33" t="n">
        <v>2</v>
      </c>
      <c r="B33" s="6" t="n">
        <v>2</v>
      </c>
      <c r="C33" s="6" t="n">
        <v>4</v>
      </c>
      <c r="D33" s="7" t="n">
        <v>6</v>
      </c>
      <c r="E33" s="7" t="n">
        <v>8</v>
      </c>
      <c r="F33" s="8" t="n">
        <v>10</v>
      </c>
    </row>
    <row r="34">
      <c r="A34" t="n">
        <v>3</v>
      </c>
      <c r="B34" s="6" t="n">
        <v>3</v>
      </c>
      <c r="C34" s="7" t="n">
        <v>6</v>
      </c>
      <c r="D34" s="7" t="n">
        <v>9</v>
      </c>
      <c r="E34" s="8" t="n">
        <v>12</v>
      </c>
      <c r="F34" s="8" t="n">
        <v>15</v>
      </c>
    </row>
    <row r="35">
      <c r="A35" t="n">
        <v>4</v>
      </c>
      <c r="B35" s="6" t="n">
        <v>4</v>
      </c>
      <c r="C35" s="7" t="n">
        <v>8</v>
      </c>
      <c r="D35" s="8" t="n">
        <v>12</v>
      </c>
      <c r="E35" s="8" t="n">
        <v>16</v>
      </c>
      <c r="F35" s="9" t="n">
        <v>20</v>
      </c>
    </row>
    <row r="36">
      <c r="A36" t="n">
        <v>5</v>
      </c>
      <c r="B36" s="7" t="n">
        <v>5</v>
      </c>
      <c r="C36" s="8" t="n">
        <v>10</v>
      </c>
      <c r="D36" s="8" t="n">
        <v>15</v>
      </c>
      <c r="E36" s="9" t="n">
        <v>20</v>
      </c>
      <c r="F36" s="9" t="n">
        <v>25</v>
      </c>
    </row>
  </sheetData>
  <autoFilter ref="A1:C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n"/>
    </row>
    <row r="2">
      <c r="A2" s="4" t="inlineStr">
        <is>
          <t>Risk Category</t>
        </is>
      </c>
      <c r="B2" s="4" t="inlineStr">
        <is>
          <t>Definition</t>
        </is>
      </c>
    </row>
    <row r="3">
      <c r="A3" s="4" t="inlineStr">
        <is>
          <t>Identity &amp; Access Management</t>
        </is>
      </c>
      <c r="B3" s="4" t="inlineStr">
        <is>
          <t>Risks related to authentication, authorization and privileged access</t>
        </is>
      </c>
    </row>
    <row r="4">
      <c r="A4" s="4" t="inlineStr">
        <is>
          <t>Unauthorized Access</t>
        </is>
      </c>
      <c r="B4" s="4" t="inlineStr">
        <is>
          <t>Unauthorized access to systems, accounts or data</t>
        </is>
      </c>
    </row>
    <row r="5">
      <c r="A5" s="4" t="inlineStr">
        <is>
          <t>Application Security</t>
        </is>
      </c>
      <c r="B5" s="4" t="inlineStr">
        <is>
          <t>Vulnerabilities or attacks affecting applications and APIs</t>
        </is>
      </c>
    </row>
    <row r="6">
      <c r="A6" s="4" t="inlineStr">
        <is>
          <t>Operational Resilience</t>
        </is>
      </c>
      <c r="B6" s="4" t="inlineStr">
        <is>
          <t>Disruption of critical technology or business services</t>
        </is>
      </c>
    </row>
    <row r="7">
      <c r="A7" s="4" t="inlineStr">
        <is>
          <t>Security Monitoring</t>
        </is>
      </c>
      <c r="B7" s="4" t="inlineStr">
        <is>
          <t>Loss or degradation of detection and monitoring capability</t>
        </is>
      </c>
    </row>
    <row r="8">
      <c r="A8" s="4" t="inlineStr">
        <is>
          <t>Endpoint Security</t>
        </is>
      </c>
      <c r="B8" s="4" t="inlineStr">
        <is>
          <t>Compromise, loss or inadequate protection of endpoints</t>
        </is>
      </c>
    </row>
    <row r="9">
      <c r="A9" s="4" t="inlineStr">
        <is>
          <t>Patch Management</t>
        </is>
      </c>
      <c r="B9" s="4" t="inlineStr">
        <is>
          <t>Failure to identify or remediate vulnerabilities</t>
        </is>
      </c>
    </row>
    <row r="10">
      <c r="A10" s="4" t="inlineStr">
        <is>
          <t>Network Security</t>
        </is>
      </c>
      <c r="B10" s="4" t="inlineStr">
        <is>
          <t>Network intrusion, misconfiguration or connectivity failure</t>
        </is>
      </c>
    </row>
    <row r="11">
      <c r="A11" s="4" t="inlineStr">
        <is>
          <t>Business Continuity</t>
        </is>
      </c>
      <c r="B11" s="4" t="inlineStr">
        <is>
          <t>Failure to recover critical services or data</t>
        </is>
      </c>
    </row>
    <row r="12">
      <c r="A12" s="4" t="inlineStr">
        <is>
          <t>Third-Party ICT Risk</t>
        </is>
      </c>
      <c r="B12" s="4" t="inlineStr">
        <is>
          <t>Risks arising from ICT suppliers and dependencies</t>
        </is>
      </c>
    </row>
    <row r="13">
      <c r="A13" s="4" t="inlineStr">
        <is>
          <t>Phishing</t>
        </is>
      </c>
      <c r="B13" s="4" t="inlineStr">
        <is>
          <t>Social engineering, credential theft and business email compromise</t>
        </is>
      </c>
    </row>
    <row r="14">
      <c r="A14" s="4" t="inlineStr">
        <is>
          <t>Data Protection</t>
        </is>
      </c>
      <c r="B14" s="4" t="inlineStr">
        <is>
          <t>Unauthorized disclosure, modification or loss of sensitive data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Pratheek Gujaran</dc:creator>
  <dc:title xmlns:dc="http://purl.org/dc/elements/1.1/">BalticTrust Bank Risk Register</dc:title>
  <dc:subject xmlns:dc="http://purl.org/dc/elements/1.1/">Cybersecurity GRC &amp; DORA Assessment</dc:subject>
  <dcterms:created xmlns:dcterms="http://purl.org/dc/terms/" xmlns:xsi="http://www.w3.org/2001/XMLSchema-instance" xsi:type="dcterms:W3CDTF">2026-10-08T17:27:08Z</dcterms:created>
  <dcterms:modified xmlns:dcterms="http://purl.org/dc/terms/" xmlns:xsi="http://www.w3.org/2001/XMLSchema-instance" xsi:type="dcterms:W3CDTF">2026-10-08T17:27:08Z</dcterms:modified>
</cp:coreProperties>
</file>