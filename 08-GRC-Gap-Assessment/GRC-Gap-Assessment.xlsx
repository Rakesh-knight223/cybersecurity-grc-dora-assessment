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Gap Assessment" sheetId="3" state="visible" r:id="rId3"/>
    <sheet xmlns:r="http://schemas.openxmlformats.org/officeDocument/2006/relationships" name="Risk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</font>
    <font>
      <b val="1"/>
      <color rgb="00FFFFFF"/>
      <sz val="16"/>
    </font>
    <font>
      <b val="1"/>
      <color rgb="00FFFFFF"/>
    </font>
    <font>
      <b val="1"/>
      <color rgb="00FFFFFF"/>
      <sz val="1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2" borderId="0" pivotButton="0" quotePrefix="0" xfId="0"/>
    <xf numFmtId="0" fontId="4" fillId="4" borderId="0" pivotButton="0" quotePrefix="0" xfId="0"/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4" fillId="4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FFC7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GRCGapAssessmentTable" displayName="GRCGapAssessmentTable" ref="A1:P15" headerRowCount="1">
  <autoFilter ref="A1:P15"/>
  <tableColumns count="16">
    <tableColumn id="1" name="Gap ID"/>
    <tableColumn id="2" name="Domain"/>
    <tableColumn id="3" name="Assessment Finding / Gap"/>
    <tableColumn id="4" name="Related Internal Control"/>
    <tableColumn id="5" name="Related Framework(s)"/>
    <tableColumn id="6" name="Evidence / Basis"/>
    <tableColumn id="7" name="Likelihood (1-5)"/>
    <tableColumn id="8" name="Impact (1-5)"/>
    <tableColumn id="9" name="Inherent Risk Score"/>
    <tableColumn id="10" name="Risk Rating"/>
    <tableColumn id="11" name="Current Status"/>
    <tableColumn id="12" name="Recommended Remediation"/>
    <tableColumn id="13" name="Accountable Owner"/>
    <tableColumn id="14" name="Target Date"/>
    <tableColumn id="15" name="Residual Risk / Notes"/>
    <tableColumn id="16" name="Closure Evide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52" customWidth="1" min="3" max="3"/>
    <col width="4" customWidth="1" min="4" max="4"/>
  </cols>
  <sheetData>
    <row r="1" ht="34" customHeight="1">
      <c r="A1" s="1" t="inlineStr">
        <is>
          <t>BalticTrust Bank — GRC Gap Assessment Summary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Interpretation</t>
        </is>
      </c>
      <c r="D2" s="2" t="inlineStr"/>
    </row>
    <row r="3">
      <c r="A3" s="3" t="inlineStr">
        <is>
          <t>Total illustrative gaps</t>
        </is>
      </c>
      <c r="B3" s="3">
        <f>COUNTA('Gap Assessment'!A2:A15)</f>
        <v/>
      </c>
      <c r="C3" s="3" t="inlineStr">
        <is>
          <t>Initial portfolio example; validate findings</t>
        </is>
      </c>
    </row>
    <row r="4">
      <c r="A4" s="3" t="inlineStr">
        <is>
          <t>Critical risk gaps</t>
        </is>
      </c>
      <c r="B4" s="3">
        <f>COUNTIF('Gap Assessment'!J2:J15,"Critical")</f>
        <v/>
      </c>
      <c r="C4" s="3" t="inlineStr">
        <is>
          <t>Prioritize immediate management attention</t>
        </is>
      </c>
    </row>
    <row r="5">
      <c r="A5" s="3" t="inlineStr">
        <is>
          <t>High risk gaps</t>
        </is>
      </c>
      <c r="B5" s="3">
        <f>COUNTIF('Gap Assessment'!J2:J15,"High")</f>
        <v/>
      </c>
      <c r="C5" s="3" t="inlineStr">
        <is>
          <t>Plan timely risk treatment</t>
        </is>
      </c>
    </row>
    <row r="6">
      <c r="A6" s="3" t="inlineStr">
        <is>
          <t>Medium risk gaps</t>
        </is>
      </c>
      <c r="B6" s="3">
        <f>COUNTIF('Gap Assessment'!J2:J15,"Medium")</f>
        <v/>
      </c>
      <c r="C6" s="3" t="inlineStr">
        <is>
          <t>Schedule proportionate improvement</t>
        </is>
      </c>
    </row>
    <row r="7">
      <c r="A7" s="3" t="inlineStr">
        <is>
          <t>Low risk gaps</t>
        </is>
      </c>
      <c r="B7" s="3">
        <f>COUNTIF('Gap Assessment'!J2:J15,"Low")</f>
        <v/>
      </c>
      <c r="C7" s="3" t="inlineStr">
        <is>
          <t>Monitor according to risk appetite</t>
        </is>
      </c>
    </row>
    <row r="8">
      <c r="A8" s="3" t="inlineStr">
        <is>
          <t>Open actions</t>
        </is>
      </c>
      <c r="B8" s="3">
        <f>COUNTIF('Gap Assessment'!K2:K15,"Open")</f>
        <v/>
      </c>
      <c r="C8" s="3" t="inlineStr">
        <is>
          <t>Track to owner and target date</t>
        </is>
      </c>
    </row>
    <row r="9">
      <c r="A9" s="3" t="inlineStr">
        <is>
          <t>In progress</t>
        </is>
      </c>
      <c r="B9" s="3">
        <f>COUNTIF('Gap Assessment'!K2:K15,"In Progress")</f>
        <v/>
      </c>
      <c r="C9" s="3" t="inlineStr">
        <is>
          <t>Update as remediation proceeds</t>
        </is>
      </c>
    </row>
    <row r="10">
      <c r="A10" s="3" t="inlineStr">
        <is>
          <t>Closed</t>
        </is>
      </c>
      <c r="B10" s="3">
        <f>COUNTIF('Gap Assessment'!K2:K15,"Closed")</f>
        <v/>
      </c>
      <c r="C10" s="3" t="inlineStr">
        <is>
          <t>Closure requires reviewed evidence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BalticTrust Bank — GRC Gap Assessment</t>
        </is>
      </c>
    </row>
    <row r="3" ht="44" customHeight="1">
      <c r="A3" s="4" t="inlineStr">
        <is>
          <t>Purpose</t>
        </is>
      </c>
      <c r="B3" s="3" t="inlineStr">
        <is>
          <t>Consolidate illustrative gaps from the fictional BalticTrust Bank's risk register, security control catalogue, ISO 27001 mapping, NIST CSF 2.0 mapping, and DORA mapping.</t>
        </is>
      </c>
      <c r="C3" s="5" t="n"/>
      <c r="D3" s="5" t="n"/>
      <c r="E3" s="5" t="n"/>
      <c r="F3" s="5" t="n"/>
    </row>
    <row r="4" ht="44" customHeight="1">
      <c r="A4" s="4" t="inlineStr">
        <is>
          <t>Workbook sheets</t>
        </is>
      </c>
      <c r="B4" s="3" t="inlineStr">
        <is>
          <t>Summary: high-level counts. Gap Assessment: findings, risk scores, actions, owners, target dates, and closure evidence. Risk Matrix: scoring definitions.</t>
        </is>
      </c>
      <c r="C4" s="5" t="n"/>
      <c r="D4" s="5" t="n"/>
      <c r="E4" s="5" t="n"/>
      <c r="F4" s="5" t="n"/>
    </row>
    <row r="5" ht="44" customHeight="1">
      <c r="A5" s="4" t="inlineStr">
        <is>
          <t>How to use</t>
        </is>
      </c>
      <c r="B5" s="3" t="inlineStr">
        <is>
          <t>Review each illustrative gap against available evidence. Adjust likelihood and impact (1–5), confirm the calculated inherent score and rating, refine the remediation action, assign an accountable owner, and track status.</t>
        </is>
      </c>
      <c r="C5" s="5" t="n"/>
      <c r="D5" s="5" t="n"/>
      <c r="E5" s="5" t="n"/>
      <c r="F5" s="5" t="n"/>
    </row>
    <row r="6" ht="44" customHeight="1">
      <c r="A6" s="4" t="inlineStr">
        <is>
          <t>Risk scoring</t>
        </is>
      </c>
      <c r="B6" s="3" t="inlineStr">
        <is>
          <t>Inherent Risk Score = Likelihood × Impact. Rating bands: 1–4 Low; 5–9 Medium; 10–16 High; 17–25 Critical. Adapt to the organization's approved risk methodology and appetite.</t>
        </is>
      </c>
      <c r="C6" s="5" t="n"/>
      <c r="D6" s="5" t="n"/>
      <c r="E6" s="5" t="n"/>
      <c r="F6" s="5" t="n"/>
    </row>
    <row r="7" ht="44" customHeight="1">
      <c r="A7" s="4" t="inlineStr">
        <is>
          <t>Status definitions</t>
        </is>
      </c>
      <c r="B7" s="3" t="inlineStr">
        <is>
          <t>Open = not started; In Progress = remediation underway; Blocked = impediment exists; Ready for Review = action reportedly complete and awaiting validation; Closed = closure evidence reviewed; Accepted Risk = formally accepted by authorized role.</t>
        </is>
      </c>
      <c r="C7" s="5" t="n"/>
      <c r="D7" s="5" t="n"/>
      <c r="E7" s="5" t="n"/>
      <c r="F7" s="5" t="n"/>
    </row>
    <row r="8" ht="44" customHeight="1">
      <c r="A8" s="4" t="inlineStr">
        <is>
          <t>Evidence discipline</t>
        </is>
      </c>
      <c r="B8" s="3" t="inlineStr">
        <is>
          <t>Do not mark a gap as verified solely because it appears here. Use actual supporting evidence; for this fictional portfolio, label created evidence and assumptions clearly as simulated.</t>
        </is>
      </c>
      <c r="C8" s="5" t="n"/>
      <c r="D8" s="5" t="n"/>
      <c r="E8" s="5" t="n"/>
      <c r="F8" s="5" t="n"/>
    </row>
    <row r="9" ht="44" customHeight="1">
      <c r="A9" s="4" t="inlineStr">
        <is>
          <t>Scope and disclaimer</t>
        </is>
      </c>
      <c r="B9" s="3" t="inlineStr">
        <is>
          <t>BalticTrust Bank is fictional. This workbook is an educational portfolio artifact, not a formal audit, legal opinion, or proof of compliance. All initial findings, owners, target dates, and ratings are illustrative assumptions.</t>
        </is>
      </c>
      <c r="C9" s="5" t="n"/>
      <c r="D9" s="5" t="n"/>
      <c r="E9" s="5" t="n"/>
      <c r="F9" s="5" t="n"/>
    </row>
    <row r="10" ht="44" customHeight="1">
      <c r="A10" s="4" t="inlineStr">
        <is>
          <t>Framework alignment</t>
        </is>
      </c>
      <c r="B10" s="3" t="inlineStr">
        <is>
          <t>Use the ISO 27001, NIST CSF 2.0, and DORA mappings as references, but validate exact framework applicability and legal obligations separately.</t>
        </is>
      </c>
      <c r="C10" s="5" t="n"/>
      <c r="D10" s="5" t="n"/>
      <c r="E10" s="5" t="n"/>
      <c r="F10" s="5" t="n"/>
    </row>
    <row r="11" ht="44" customHeight="1">
      <c r="A11" s="4" t="inlineStr">
        <is>
          <t>Recommended practice</t>
        </is>
      </c>
      <c r="B11" s="3" t="inlineStr">
        <is>
          <t>Review critical/high gaps first, track remediation, and only close findings when evidence has been reviewed and the control's effectiveness is reasonably demonstrated.</t>
        </is>
      </c>
      <c r="C11" s="5" t="n"/>
      <c r="D11" s="5" t="n"/>
      <c r="E11" s="5" t="n"/>
      <c r="F11" s="5" t="n"/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55" customWidth="1" min="3" max="3"/>
    <col width="38" customWidth="1" min="4" max="4"/>
    <col width="32" customWidth="1" min="5" max="5"/>
    <col width="54" customWidth="1" min="6" max="6"/>
    <col width="16" customWidth="1" min="7" max="7"/>
    <col width="13" customWidth="1" min="8" max="8"/>
    <col width="15" customWidth="1" min="9" max="9"/>
    <col width="15" customWidth="1" min="10" max="10"/>
    <col width="18" customWidth="1" min="11" max="11"/>
    <col width="58" customWidth="1" min="12" max="12"/>
    <col width="32" customWidth="1" min="13" max="13"/>
    <col width="16" customWidth="1" min="14" max="14"/>
    <col width="48" customWidth="1" min="15" max="15"/>
    <col width="45" customWidth="1" min="16" max="16"/>
  </cols>
  <sheetData>
    <row r="1" ht="48" customHeight="1">
      <c r="A1" s="6" t="inlineStr">
        <is>
          <t>Gap ID</t>
        </is>
      </c>
      <c r="B1" s="6" t="inlineStr">
        <is>
          <t>Domain</t>
        </is>
      </c>
      <c r="C1" s="6" t="inlineStr">
        <is>
          <t>Assessment Finding / Gap</t>
        </is>
      </c>
      <c r="D1" s="6" t="inlineStr">
        <is>
          <t>Related Internal Control</t>
        </is>
      </c>
      <c r="E1" s="6" t="inlineStr">
        <is>
          <t>Related Framework(s)</t>
        </is>
      </c>
      <c r="F1" s="6" t="inlineStr">
        <is>
          <t>Evidence / Basis</t>
        </is>
      </c>
      <c r="G1" s="6" t="inlineStr">
        <is>
          <t>Likelihood (1-5)</t>
        </is>
      </c>
      <c r="H1" s="6" t="inlineStr">
        <is>
          <t>Impact (1-5)</t>
        </is>
      </c>
      <c r="I1" s="6" t="inlineStr">
        <is>
          <t>Inherent Risk Score</t>
        </is>
      </c>
      <c r="J1" s="6" t="inlineStr">
        <is>
          <t>Risk Rating</t>
        </is>
      </c>
      <c r="K1" s="6" t="inlineStr">
        <is>
          <t>Current Status</t>
        </is>
      </c>
      <c r="L1" s="6" t="inlineStr">
        <is>
          <t>Recommended Remediation</t>
        </is>
      </c>
      <c r="M1" s="6" t="inlineStr">
        <is>
          <t>Accountable Owner</t>
        </is>
      </c>
      <c r="N1" s="6" t="inlineStr">
        <is>
          <t>Target Date</t>
        </is>
      </c>
      <c r="O1" s="6" t="inlineStr">
        <is>
          <t>Residual Risk / Notes</t>
        </is>
      </c>
      <c r="P1" s="6" t="inlineStr">
        <is>
          <t>Closure Evidence</t>
        </is>
      </c>
    </row>
    <row r="2">
      <c r="A2" s="7" t="inlineStr">
        <is>
          <t>GAP-001</t>
        </is>
      </c>
      <c r="B2" s="8" t="inlineStr">
        <is>
          <t>Governance</t>
        </is>
      </c>
      <c r="C2" s="8" t="inlineStr">
        <is>
          <t>Formal periodic cybersecurity risk oversight and documented management review need to be evidenced.</t>
        </is>
      </c>
      <c r="D2" s="8" t="inlineStr">
        <is>
          <t>Cybersecurity governance and risk oversight</t>
        </is>
      </c>
      <c r="E2" s="8" t="inlineStr">
        <is>
          <t>NIST CSF 2.0; ISO 27001; DORA</t>
        </is>
      </c>
      <c r="F2" s="8" t="inlineStr">
        <is>
          <t>Illustrative assumption from framework mapping; validate against meeting records and governance documents.</t>
        </is>
      </c>
      <c r="G2" s="8" t="n">
        <v>3</v>
      </c>
      <c r="H2" s="8" t="n">
        <v>5</v>
      </c>
      <c r="I2" s="8">
        <f>G2*H2</f>
        <v/>
      </c>
      <c r="J2" s="8">
        <f>IF(I2&gt;=17,"Critical",IF(I2&gt;=10,"High",IF(I2&gt;=5,"Medium","Low")))</f>
        <v/>
      </c>
      <c r="K2" s="8" t="inlineStr">
        <is>
          <t>Open</t>
        </is>
      </c>
      <c r="L2" s="8" t="inlineStr">
        <is>
          <t>Establish quarterly ICT/cyber risk reporting, record decisions and action owners, and track follow-up to closure.</t>
        </is>
      </c>
      <c r="M2" s="8" t="inlineStr">
        <is>
          <t>Risk &amp; Compliance Lead</t>
        </is>
      </c>
      <c r="N2" s="9" t="n">
        <v>46402</v>
      </c>
      <c r="O2" s="8" t="inlineStr">
        <is>
          <t>Reassess after governance process and evidence are in place.</t>
        </is>
      </c>
      <c r="P2" s="8" t="inlineStr">
        <is>
          <t>Committee minutes; management dashboard; action log</t>
        </is>
      </c>
    </row>
    <row r="3">
      <c r="A3" s="10" t="inlineStr">
        <is>
          <t>GAP-002</t>
        </is>
      </c>
      <c r="B3" s="3" t="inlineStr">
        <is>
          <t>Policy &amp; Compliance</t>
        </is>
      </c>
      <c r="C3" s="3" t="inlineStr">
        <is>
          <t>Security policies need clear approval, ownership, review cadence, and evidence of communication.</t>
        </is>
      </c>
      <c r="D3" s="3" t="inlineStr">
        <is>
          <t>Cybersecurity policies and standards</t>
        </is>
      </c>
      <c r="E3" s="3" t="inlineStr">
        <is>
          <t>ISO 27001; NIST CSF 2.0; DORA</t>
        </is>
      </c>
      <c r="F3" s="3" t="inlineStr">
        <is>
          <t>Illustrative assumption; validate policy set, approvals, version history, and staff acknowledgements.</t>
        </is>
      </c>
      <c r="G3" s="3" t="n">
        <v>3</v>
      </c>
      <c r="H3" s="3" t="n">
        <v>4</v>
      </c>
      <c r="I3" s="3">
        <f>G3*H3</f>
        <v/>
      </c>
      <c r="J3" s="3">
        <f>IF(I3&gt;=17,"Critical",IF(I3&gt;=10,"High",IF(I3&gt;=5,"Medium","Low")))</f>
        <v/>
      </c>
      <c r="K3" s="3" t="inlineStr">
        <is>
          <t>Open</t>
        </is>
      </c>
      <c r="L3" s="3" t="inlineStr">
        <is>
          <t>Create or update policy register; assign owners; obtain approval; define annual review and communication process.</t>
        </is>
      </c>
      <c r="M3" s="3" t="inlineStr">
        <is>
          <t>CISO / Security Lead</t>
        </is>
      </c>
      <c r="N3" s="11" t="n">
        <v>46407</v>
      </c>
      <c r="O3" s="3" t="inlineStr">
        <is>
          <t>Confirm policy scope and applicable obligations.</t>
        </is>
      </c>
      <c r="P3" s="3" t="inlineStr">
        <is>
          <t>Approved policies; policy register; acknowledgement records</t>
        </is>
      </c>
    </row>
    <row r="4">
      <c r="A4" s="7" t="inlineStr">
        <is>
          <t>GAP-003</t>
        </is>
      </c>
      <c r="B4" s="8" t="inlineStr">
        <is>
          <t>Asset Management</t>
        </is>
      </c>
      <c r="C4" s="8" t="inlineStr">
        <is>
          <t>Asset records may lack complete ownership, criticality, lifecycle, and dependency details.</t>
        </is>
      </c>
      <c r="D4" s="8" t="inlineStr">
        <is>
          <t>Hardware and infrastructure asset inventory</t>
        </is>
      </c>
      <c r="E4" s="8" t="inlineStr">
        <is>
          <t>ISO 27001; NIST CSF 2.0; DORA</t>
        </is>
      </c>
      <c r="F4" s="8" t="inlineStr">
        <is>
          <t>Review 02-Asset-Inventory workbook and validate fields with asset owners.</t>
        </is>
      </c>
      <c r="G4" s="8" t="n">
        <v>4</v>
      </c>
      <c r="H4" s="8" t="n">
        <v>4</v>
      </c>
      <c r="I4" s="8">
        <f>G4*H4</f>
        <v/>
      </c>
      <c r="J4" s="8">
        <f>IF(I4&gt;=17,"Critical",IF(I4&gt;=10,"High",IF(I4&gt;=5,"Medium","Low")))</f>
        <v/>
      </c>
      <c r="K4" s="8" t="inlineStr">
        <is>
          <t>Open</t>
        </is>
      </c>
      <c r="L4" s="8" t="inlineStr">
        <is>
          <t>Reconcile hardware/software inventories; assign owners and criticality; map critical services to supporting assets and suppliers.</t>
        </is>
      </c>
      <c r="M4" s="8" t="inlineStr">
        <is>
          <t>IT Operations Manager</t>
        </is>
      </c>
      <c r="N4" s="9" t="n">
        <v>46376</v>
      </c>
      <c r="O4" s="8" t="inlineStr">
        <is>
          <t>Residual risk depends on completeness and reconciliation results.</t>
        </is>
      </c>
      <c r="P4" s="8" t="inlineStr">
        <is>
          <t>Updated asset inventory; reconciliation log; service dependency map</t>
        </is>
      </c>
    </row>
    <row r="5">
      <c r="A5" s="10" t="inlineStr">
        <is>
          <t>GAP-004</t>
        </is>
      </c>
      <c r="B5" s="3" t="inlineStr">
        <is>
          <t>Risk Management</t>
        </is>
      </c>
      <c r="C5" s="3" t="inlineStr">
        <is>
          <t>Risk scoring and treatment decisions require a consistent documented method and approval trail.</t>
        </is>
      </c>
      <c r="D5" s="3" t="inlineStr">
        <is>
          <t>Risk assessment and risk register</t>
        </is>
      </c>
      <c r="E5" s="3" t="inlineStr">
        <is>
          <t>ISO 27001; NIST CSF 2.0; DORA</t>
        </is>
      </c>
      <c r="F5" s="3" t="inlineStr">
        <is>
          <t>Review 03-Risk-Assessment/Risk-Register.xlsx and validate methodology, treatment, and acceptance records.</t>
        </is>
      </c>
      <c r="G5" s="3" t="n">
        <v>4</v>
      </c>
      <c r="H5" s="3" t="n">
        <v>5</v>
      </c>
      <c r="I5" s="3">
        <f>G5*H5</f>
        <v/>
      </c>
      <c r="J5" s="3">
        <f>IF(I5&gt;=17,"Critical",IF(I5&gt;=10,"High",IF(I5&gt;=5,"Medium","Low")))</f>
        <v/>
      </c>
      <c r="K5" s="3" t="inlineStr">
        <is>
          <t>Open</t>
        </is>
      </c>
      <c r="L5" s="3" t="inlineStr">
        <is>
          <t>Document likelihood/impact criteria; link risks to controls; record treatment decisions, owners, due dates, and residual-risk approvals.</t>
        </is>
      </c>
      <c r="M5" s="3" t="inlineStr">
        <is>
          <t>ICT Risk Manager</t>
        </is>
      </c>
      <c r="N5" s="11" t="n">
        <v>46378</v>
      </c>
      <c r="O5" s="3" t="inlineStr">
        <is>
          <t>Re-score after treatment evidence is available.</t>
        </is>
      </c>
      <c r="P5" s="3" t="inlineStr">
        <is>
          <t>Risk methodology; updated risk register; acceptance approvals</t>
        </is>
      </c>
    </row>
    <row r="6">
      <c r="A6" s="7" t="inlineStr">
        <is>
          <t>GAP-005</t>
        </is>
      </c>
      <c r="B6" s="8" t="inlineStr">
        <is>
          <t>Identity &amp; Access</t>
        </is>
      </c>
      <c r="C6" s="8" t="inlineStr">
        <is>
          <t>MFA coverage and periodic access reviews for privileged and critical systems need verification.</t>
        </is>
      </c>
      <c r="D6" s="8" t="inlineStr">
        <is>
          <t>Identity and access management; multi-factor authentication</t>
        </is>
      </c>
      <c r="E6" s="8" t="inlineStr">
        <is>
          <t>ISO 27001; NIST CSF 2.0; DORA</t>
        </is>
      </c>
      <c r="F6" s="8" t="inlineStr">
        <is>
          <t>Illustrative assumption; validate configuration evidence and access review samples.</t>
        </is>
      </c>
      <c r="G6" s="8" t="n">
        <v>4</v>
      </c>
      <c r="H6" s="8" t="n">
        <v>5</v>
      </c>
      <c r="I6" s="8">
        <f>G6*H6</f>
        <v/>
      </c>
      <c r="J6" s="8">
        <f>IF(I6&gt;=17,"Critical",IF(I6&gt;=10,"High",IF(I6&gt;=5,"Medium","Low")))</f>
        <v/>
      </c>
      <c r="K6" s="8" t="inlineStr">
        <is>
          <t>Open</t>
        </is>
      </c>
      <c r="L6" s="8" t="inlineStr">
        <is>
          <t>Prioritize MFA for privileged and remote access; implement quarterly access reviews; track exceptions and leaver access removal.</t>
        </is>
      </c>
      <c r="M6" s="8" t="inlineStr">
        <is>
          <t>IAM Administrator</t>
        </is>
      </c>
      <c r="N6" s="9" t="n">
        <v>46399</v>
      </c>
      <c r="O6" s="8" t="inlineStr">
        <is>
          <t>Confirm exceptions are approved and time-limited.</t>
        </is>
      </c>
      <c r="P6" s="8" t="inlineStr">
        <is>
          <t>MFA coverage report; access review records; identity lifecycle tickets</t>
        </is>
      </c>
    </row>
    <row r="7">
      <c r="A7" s="10" t="inlineStr">
        <is>
          <t>GAP-006</t>
        </is>
      </c>
      <c r="B7" s="3" t="inlineStr">
        <is>
          <t>Vulnerability &amp; Patch Management</t>
        </is>
      </c>
      <c r="C7" s="3" t="inlineStr">
        <is>
          <t>Vulnerability discovery, patch SLAs, exception handling, and closure evidence need a consistent process.</t>
        </is>
      </c>
      <c r="D7" s="3" t="inlineStr">
        <is>
          <t>Vulnerability management; secure configuration and patch management</t>
        </is>
      </c>
      <c r="E7" s="3" t="inlineStr">
        <is>
          <t>ISO 27001; NIST CSF 2.0; DORA</t>
        </is>
      </c>
      <c r="F7" s="3" t="inlineStr">
        <is>
          <t>Illustrative assumption; validate scanning cadence, remediation tickets, and patch reports.</t>
        </is>
      </c>
      <c r="G7" s="3" t="n">
        <v>4</v>
      </c>
      <c r="H7" s="3" t="n">
        <v>4</v>
      </c>
      <c r="I7" s="3">
        <f>G7*H7</f>
        <v/>
      </c>
      <c r="J7" s="3">
        <f>IF(I7&gt;=17,"Critical",IF(I7&gt;=10,"High",IF(I7&gt;=5,"Medium","Low")))</f>
        <v/>
      </c>
      <c r="K7" s="3" t="inlineStr">
        <is>
          <t>Open</t>
        </is>
      </c>
      <c r="L7" s="3" t="inlineStr">
        <is>
          <t>Define risk-based patch deadlines; run authorized assessments; prioritize critical findings; report overdue items and approved exceptions.</t>
        </is>
      </c>
      <c r="M7" s="3" t="inlineStr">
        <is>
          <t>Security Engineer / IT Operations Manager</t>
        </is>
      </c>
      <c r="N7" s="11" t="n">
        <v>46412</v>
      </c>
      <c r="O7" s="3" t="inlineStr">
        <is>
          <t>Reassess based on verified vulnerability and patch metrics.</t>
        </is>
      </c>
      <c r="P7" s="3" t="inlineStr">
        <is>
          <t>Scan reports; patch compliance report; remediation tickets</t>
        </is>
      </c>
    </row>
    <row r="8">
      <c r="A8" s="7" t="inlineStr">
        <is>
          <t>GAP-007</t>
        </is>
      </c>
      <c r="B8" s="8" t="inlineStr">
        <is>
          <t>Logging &amp; Detection</t>
        </is>
      </c>
      <c r="C8" s="8" t="inlineStr">
        <is>
          <t>Critical log source coverage, retention, alert ownership, and triage evidence need validation.</t>
        </is>
      </c>
      <c r="D8" s="8" t="inlineStr">
        <is>
          <t>Security logging and continuous monitoring</t>
        </is>
      </c>
      <c r="E8" s="8" t="inlineStr">
        <is>
          <t>ISO 27001; NIST CSF 2.0; DORA</t>
        </is>
      </c>
      <c r="F8" s="8" t="inlineStr">
        <is>
          <t>Illustrative assumption; validate monitoring architecture and sample alert records.</t>
        </is>
      </c>
      <c r="G8" s="8" t="n">
        <v>3</v>
      </c>
      <c r="H8" s="8" t="n">
        <v>5</v>
      </c>
      <c r="I8" s="8">
        <f>G8*H8</f>
        <v/>
      </c>
      <c r="J8" s="8">
        <f>IF(I8&gt;=17,"Critical",IF(I8&gt;=10,"High",IF(I8&gt;=5,"Medium","Low")))</f>
        <v/>
      </c>
      <c r="K8" s="8" t="inlineStr">
        <is>
          <t>Open</t>
        </is>
      </c>
      <c r="L8" s="8" t="inlineStr">
        <is>
          <t>Define critical log sources; centralize logs where appropriate; assign alert owners; test triage and escalation.</t>
        </is>
      </c>
      <c r="M8" s="8" t="inlineStr">
        <is>
          <t>SOC Lead</t>
        </is>
      </c>
      <c r="N8" s="9" t="n">
        <v>46409</v>
      </c>
      <c r="O8" s="8" t="inlineStr">
        <is>
          <t>Residual risk depends on detection coverage and response time.</t>
        </is>
      </c>
      <c r="P8" s="8" t="inlineStr">
        <is>
          <t>Logging standard; source coverage report; alert tickets</t>
        </is>
      </c>
    </row>
    <row r="9">
      <c r="A9" s="10" t="inlineStr">
        <is>
          <t>GAP-008</t>
        </is>
      </c>
      <c r="B9" s="3" t="inlineStr">
        <is>
          <t>Incident Response</t>
        </is>
      </c>
      <c r="C9" s="3" t="inlineStr">
        <is>
          <t>Incident classification, escalation, response roles, exercises, and reporting decision criteria need to be documented.</t>
        </is>
      </c>
      <c r="D9" s="3" t="inlineStr">
        <is>
          <t>Incident response plan; incident management and reporting</t>
        </is>
      </c>
      <c r="E9" s="3" t="inlineStr">
        <is>
          <t>ISO 27001; NIST CSF 2.0; DORA</t>
        </is>
      </c>
      <c r="F9" s="3" t="inlineStr">
        <is>
          <t>Illustrative assumption; validate incident procedures, incident register, and exercise records.</t>
        </is>
      </c>
      <c r="G9" s="3" t="n">
        <v>3</v>
      </c>
      <c r="H9" s="3" t="n">
        <v>5</v>
      </c>
      <c r="I9" s="3">
        <f>G9*H9</f>
        <v/>
      </c>
      <c r="J9" s="3">
        <f>IF(I9&gt;=17,"Critical",IF(I9&gt;=10,"High",IF(I9&gt;=5,"Medium","Low")))</f>
        <v/>
      </c>
      <c r="K9" s="3" t="inlineStr">
        <is>
          <t>Open</t>
        </is>
      </c>
      <c r="L9" s="3" t="inlineStr">
        <is>
          <t>Approve an incident response plan, define severity and escalation criteria, run tabletop exercises, and validate applicable reporting obligations.</t>
        </is>
      </c>
      <c r="M9" s="3" t="inlineStr">
        <is>
          <t>Incident Response Lead / Compliance Officer</t>
        </is>
      </c>
      <c r="N9" s="11" t="n">
        <v>46412</v>
      </c>
      <c r="O9" s="3" t="inlineStr">
        <is>
          <t>Reassess after an exercise and procedure review.</t>
        </is>
      </c>
      <c r="P9" s="3" t="inlineStr">
        <is>
          <t>Approved plan; incident register; exercise report; reporting workflow</t>
        </is>
      </c>
    </row>
    <row r="10">
      <c r="A10" s="7" t="inlineStr">
        <is>
          <t>GAP-009</t>
        </is>
      </c>
      <c r="B10" s="8" t="inlineStr">
        <is>
          <t>Business Continuity &amp; Recovery</t>
        </is>
      </c>
      <c r="C10" s="8" t="inlineStr">
        <is>
          <t>Recovery priorities, RTO/RPO assumptions, backup restoration tests, and recovery communications need evidence.</t>
        </is>
      </c>
      <c r="D10" s="8" t="inlineStr">
        <is>
          <t>Business continuity and recovery planning</t>
        </is>
      </c>
      <c r="E10" s="8" t="inlineStr">
        <is>
          <t>ISO 27001; NIST CSF 2.0; DORA</t>
        </is>
      </c>
      <c r="F10" s="8" t="inlineStr">
        <is>
          <t>Illustrative assumption; validate BCP/DR plans, business impact analysis, and restore tests.</t>
        </is>
      </c>
      <c r="G10" s="8" t="n">
        <v>3</v>
      </c>
      <c r="H10" s="8" t="n">
        <v>5</v>
      </c>
      <c r="I10" s="8">
        <f>G10*H10</f>
        <v/>
      </c>
      <c r="J10" s="8">
        <f>IF(I10&gt;=17,"Critical",IF(I10&gt;=10,"High",IF(I10&gt;=5,"Medium","Low")))</f>
        <v/>
      </c>
      <c r="K10" s="8" t="inlineStr">
        <is>
          <t>Open</t>
        </is>
      </c>
      <c r="L10" s="8" t="inlineStr">
        <is>
          <t>Map critical services; approve recovery objectives; test backup restoration; document recovery roles and communications.</t>
        </is>
      </c>
      <c r="M10" s="8" t="inlineStr">
        <is>
          <t>Business Continuity Manager</t>
        </is>
      </c>
      <c r="N10" s="9" t="n">
        <v>46433</v>
      </c>
      <c r="O10" s="8" t="inlineStr">
        <is>
          <t>Residual risk remains until successful testing and remediation.</t>
        </is>
      </c>
      <c r="P10" s="8" t="inlineStr">
        <is>
          <t>BCP/DR plan; BIA; backup restore results; exercise report</t>
        </is>
      </c>
    </row>
    <row r="11">
      <c r="A11" s="10" t="inlineStr">
        <is>
          <t>GAP-010</t>
        </is>
      </c>
      <c r="B11" s="3" t="inlineStr">
        <is>
          <t>Third-Party ICT Risk</t>
        </is>
      </c>
      <c r="C11" s="3" t="inlineStr">
        <is>
          <t>Supplier criticality, due diligence, ongoing reassessment, contractual security requirements, and exit planning need validation.</t>
        </is>
      </c>
      <c r="D11" s="3" t="inlineStr">
        <is>
          <t>Third-party ICT risk management</t>
        </is>
      </c>
      <c r="E11" s="3" t="inlineStr">
        <is>
          <t>ISO 27001; NIST CSF 2.0; DORA</t>
        </is>
      </c>
      <c r="F11" s="3" t="inlineStr">
        <is>
          <t>Illustrative assumption; validate supplier inventory, contracts, and risk assessments.</t>
        </is>
      </c>
      <c r="G11" s="3" t="n">
        <v>4</v>
      </c>
      <c r="H11" s="3" t="n">
        <v>5</v>
      </c>
      <c r="I11" s="3">
        <f>G11*H11</f>
        <v/>
      </c>
      <c r="J11" s="3">
        <f>IF(I11&gt;=17,"Critical",IF(I11&gt;=10,"High",IF(I11&gt;=5,"Medium","Low")))</f>
        <v/>
      </c>
      <c r="K11" s="3" t="inlineStr">
        <is>
          <t>Open</t>
        </is>
      </c>
      <c r="L11" s="3" t="inlineStr">
        <is>
          <t>Create a risk-tiered ICT supplier register; perform due diligence; review relevant contract clauses; define monitoring and exit plans for critical services.</t>
        </is>
      </c>
      <c r="M11" s="3" t="inlineStr">
        <is>
          <t>Third-Party Risk Manager</t>
        </is>
      </c>
      <c r="N11" s="11" t="n">
        <v>46428</v>
      </c>
      <c r="O11" s="3" t="inlineStr">
        <is>
          <t>Prioritize critical suppliers and concentration dependencies.</t>
        </is>
      </c>
      <c r="P11" s="3" t="inlineStr">
        <is>
          <t>Supplier register; due diligence; contract review; reassessment and exit plans</t>
        </is>
      </c>
    </row>
    <row r="12">
      <c r="A12" s="7" t="inlineStr">
        <is>
          <t>GAP-011</t>
        </is>
      </c>
      <c r="B12" s="8" t="inlineStr">
        <is>
          <t>Security Awareness</t>
        </is>
      </c>
      <c r="C12" s="8" t="inlineStr">
        <is>
          <t>Training completion and role-specific training for privileged or high-risk roles need evidence.</t>
        </is>
      </c>
      <c r="D12" s="8" t="inlineStr">
        <is>
          <t>Security awareness and training</t>
        </is>
      </c>
      <c r="E12" s="8" t="inlineStr">
        <is>
          <t>ISO 27001; NIST CSF 2.0</t>
        </is>
      </c>
      <c r="F12" s="8" t="inlineStr">
        <is>
          <t>Illustrative assumption; validate training plan and completion records.</t>
        </is>
      </c>
      <c r="G12" s="8" t="n">
        <v>3</v>
      </c>
      <c r="H12" s="8" t="n">
        <v>3</v>
      </c>
      <c r="I12" s="8">
        <f>G12*H12</f>
        <v/>
      </c>
      <c r="J12" s="8">
        <f>IF(I12&gt;=17,"Critical",IF(I12&gt;=10,"High",IF(I12&gt;=5,"Medium","Low")))</f>
        <v/>
      </c>
      <c r="K12" s="8" t="inlineStr">
        <is>
          <t>Open</t>
        </is>
      </c>
      <c r="L12" s="8" t="inlineStr">
        <is>
          <t>Implement annual awareness training and role-based training; monitor completion and target follow-up.</t>
        </is>
      </c>
      <c r="M12" s="8" t="inlineStr">
        <is>
          <t>HR / Security Lead</t>
        </is>
      </c>
      <c r="N12" s="9" t="n">
        <v>46419</v>
      </c>
      <c r="O12" s="8" t="inlineStr">
        <is>
          <t>Review completion rates and effectiveness measures.</t>
        </is>
      </c>
      <c r="P12" s="8" t="inlineStr">
        <is>
          <t>Training plan; completion report; awareness exercise results</t>
        </is>
      </c>
    </row>
    <row r="13">
      <c r="A13" s="10" t="inlineStr">
        <is>
          <t>GAP-012</t>
        </is>
      </c>
      <c r="B13" s="3" t="inlineStr">
        <is>
          <t>Data Protection</t>
        </is>
      </c>
      <c r="C13" s="3" t="inlineStr">
        <is>
          <t>Data classification, encryption coverage, and key-management responsibilities need verification.</t>
        </is>
      </c>
      <c r="D13" s="3" t="inlineStr">
        <is>
          <t>Data protection and encryption</t>
        </is>
      </c>
      <c r="E13" s="3" t="inlineStr">
        <is>
          <t>ISO 27001; NIST CSF 2.0</t>
        </is>
      </c>
      <c r="F13" s="3" t="inlineStr">
        <is>
          <t>Illustrative assumption; validate data classification and encryption configurations.</t>
        </is>
      </c>
      <c r="G13" s="3" t="n">
        <v>3</v>
      </c>
      <c r="H13" s="3" t="n">
        <v>5</v>
      </c>
      <c r="I13" s="3">
        <f>G13*H13</f>
        <v/>
      </c>
      <c r="J13" s="3">
        <f>IF(I13&gt;=17,"Critical",IF(I13&gt;=10,"High",IF(I13&gt;=5,"Medium","Low")))</f>
        <v/>
      </c>
      <c r="K13" s="3" t="inlineStr">
        <is>
          <t>Open</t>
        </is>
      </c>
      <c r="L13" s="3" t="inlineStr">
        <is>
          <t>Classify sensitive data; verify encryption at rest/in transit where appropriate; document key management and exceptions.</t>
        </is>
      </c>
      <c r="M13" s="3" t="inlineStr">
        <is>
          <t>Data Protection / IT Lead</t>
        </is>
      </c>
      <c r="N13" s="11" t="n">
        <v>46402</v>
      </c>
      <c r="O13" s="3" t="inlineStr">
        <is>
          <t>Reassess after configuration review and remediation.</t>
        </is>
      </c>
      <c r="P13" s="3" t="inlineStr">
        <is>
          <t>Data classification; encryption configuration evidence; key-management procedure</t>
        </is>
      </c>
    </row>
    <row r="14">
      <c r="A14" s="7" t="inlineStr">
        <is>
          <t>GAP-013</t>
        </is>
      </c>
      <c r="B14" s="8" t="inlineStr">
        <is>
          <t>Resilience Testing</t>
        </is>
      </c>
      <c r="C14" s="8" t="inlineStr">
        <is>
          <t>A documented, risk-based ICT resilience testing programme and remediation follow-up need evidence.</t>
        </is>
      </c>
      <c r="D14" s="8" t="inlineStr">
        <is>
          <t>ICT resilience testing</t>
        </is>
      </c>
      <c r="E14" s="8" t="inlineStr">
        <is>
          <t>DORA; NIST CSF 2.0</t>
        </is>
      </c>
      <c r="F14" s="8" t="inlineStr">
        <is>
          <t>Illustrative assumption; validate test schedule, scope, reports, and finding closure.</t>
        </is>
      </c>
      <c r="G14" s="8" t="n">
        <v>3</v>
      </c>
      <c r="H14" s="8" t="n">
        <v>4</v>
      </c>
      <c r="I14" s="8">
        <f>G14*H14</f>
        <v/>
      </c>
      <c r="J14" s="8">
        <f>IF(I14&gt;=17,"Critical",IF(I14&gt;=10,"High",IF(I14&gt;=5,"Medium","Low")))</f>
        <v/>
      </c>
      <c r="K14" s="8" t="inlineStr">
        <is>
          <t>Open</t>
        </is>
      </c>
      <c r="L14" s="8" t="inlineStr">
        <is>
          <t>Create an annual risk-based test plan; document scope and results; assign remediation owners; track findings to closure.</t>
        </is>
      </c>
      <c r="M14" s="8" t="inlineStr">
        <is>
          <t>Security Testing Lead</t>
        </is>
      </c>
      <c r="N14" s="9" t="n">
        <v>46433</v>
      </c>
      <c r="O14" s="8" t="inlineStr">
        <is>
          <t>Confirm which advanced testing requirements, if any, apply to the entity.</t>
        </is>
      </c>
      <c r="P14" s="8" t="inlineStr">
        <is>
          <t>Test plan; test reports; remediation tracker</t>
        </is>
      </c>
    </row>
    <row r="15">
      <c r="A15" s="10" t="inlineStr">
        <is>
          <t>GAP-014</t>
        </is>
      </c>
      <c r="B15" s="3" t="inlineStr">
        <is>
          <t>Audit &amp; Remediation</t>
        </is>
      </c>
      <c r="C15" s="3" t="inlineStr">
        <is>
          <t>Framework mapping gaps, audit findings, owners, deadlines, and closure evidence need a single traceable process.</t>
        </is>
      </c>
      <c r="D15" s="3" t="inlineStr">
        <is>
          <t>GRC findings and remediation tracking</t>
        </is>
      </c>
      <c r="E15" s="3" t="inlineStr">
        <is>
          <t>ISO 27001; NIST CSF 2.0; DORA</t>
        </is>
      </c>
      <c r="F15" s="3" t="inlineStr">
        <is>
          <t>Illustrative assumption; validate current trackers and confirm one source of truth.</t>
        </is>
      </c>
      <c r="G15" s="3" t="n">
        <v>3</v>
      </c>
      <c r="H15" s="3" t="n">
        <v>4</v>
      </c>
      <c r="I15" s="3">
        <f>G15*H15</f>
        <v/>
      </c>
      <c r="J15" s="3">
        <f>IF(I15&gt;=17,"Critical",IF(I15&gt;=10,"High",IF(I15&gt;=5,"Medium","Low")))</f>
        <v/>
      </c>
      <c r="K15" s="3" t="inlineStr">
        <is>
          <t>Open</t>
        </is>
      </c>
      <c r="L15" s="3" t="inlineStr">
        <is>
          <t>Maintain a central findings register with severity, root cause, action owner, due date, status, and independent closure review.</t>
        </is>
      </c>
      <c r="M15" s="3" t="inlineStr">
        <is>
          <t>GRC Analyst / Internal Audit</t>
        </is>
      </c>
      <c r="N15" s="11" t="n">
        <v>46446</v>
      </c>
      <c r="O15" s="3" t="inlineStr">
        <is>
          <t>Close only after evidence is reviewed and effectiveness is checked.</t>
        </is>
      </c>
      <c r="P15" s="3" t="inlineStr">
        <is>
          <t>Findings register; remediation tracker; closure approvals</t>
        </is>
      </c>
    </row>
  </sheetData>
  <conditionalFormatting sqref="J2:J15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K2:K15">
    <cfRule type="cellIs" priority="5" operator="equal" dxfId="0">
      <formula>"Open"</formula>
    </cfRule>
    <cfRule type="cellIs" priority="6" operator="equal" dxfId="4">
      <formula>"In Progress"</formula>
    </cfRule>
    <cfRule type="cellIs" priority="7" operator="equal" dxfId="1">
      <formula>"Blocked"</formula>
    </cfRule>
    <cfRule type="cellIs" priority="8" operator="equal" dxfId="5">
      <formula>"Ready for Review"</formula>
    </cfRule>
    <cfRule type="cellIs" priority="9" operator="equal" dxfId="6">
      <formula>"Closed"</formula>
    </cfRule>
    <cfRule type="cellIs" priority="10" operator="equal" dxfId="7">
      <formula>"Accepted Risk"</formula>
    </cfRule>
  </conditionalFormatting>
  <dataValidations count="4">
    <dataValidation sqref="G2:G15" showDropDown="0" showInputMessage="0" showErrorMessage="0" allowBlank="0" type="whole" operator="between">
      <formula1>1</formula1>
      <formula2>5</formula2>
    </dataValidation>
    <dataValidation sqref="H2:H15" showDropDown="0" showInputMessage="0" showErrorMessage="0" allowBlank="0" type="whole" operator="between">
      <formula1>1</formula1>
      <formula2>5</formula2>
    </dataValidation>
    <dataValidation sqref="K2:K15" showDropDown="0" showInputMessage="0" showErrorMessage="0" allowBlank="1" type="list">
      <formula1>"Open,In Progress,Blocked,Ready for Review,Closed,Accepted Risk"</formula1>
    </dataValidation>
    <dataValidation sqref="J2:J15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Risk Scoring Guide</t>
        </is>
      </c>
    </row>
    <row r="2">
      <c r="A2" s="13" t="inlineStr">
        <is>
          <t>Likelihood / Impact</t>
        </is>
      </c>
      <c r="B2" s="13" t="inlineStr">
        <is>
          <t>1 - Minimal</t>
        </is>
      </c>
      <c r="C2" s="13" t="inlineStr">
        <is>
          <t>2 - Minor</t>
        </is>
      </c>
      <c r="D2" s="13" t="inlineStr">
        <is>
          <t>3 - Moderate</t>
        </is>
      </c>
      <c r="E2" s="13" t="inlineStr">
        <is>
          <t>4 - Major</t>
        </is>
      </c>
      <c r="F2" s="13" t="inlineStr">
        <is>
          <t>5 - Severe</t>
        </is>
      </c>
    </row>
    <row r="3">
      <c r="A3" s="14" t="inlineStr">
        <is>
          <t>5 - Almost Certain</t>
        </is>
      </c>
      <c r="B3" s="14" t="inlineStr">
        <is>
          <t>5 — Medium</t>
        </is>
      </c>
      <c r="C3" s="14" t="inlineStr">
        <is>
          <t>10 — High</t>
        </is>
      </c>
      <c r="D3" s="14" t="inlineStr">
        <is>
          <t>15 — High</t>
        </is>
      </c>
      <c r="E3" s="14" t="inlineStr">
        <is>
          <t>20 — Critical</t>
        </is>
      </c>
      <c r="F3" s="14" t="inlineStr">
        <is>
          <t>25 — Critical</t>
        </is>
      </c>
    </row>
    <row r="4">
      <c r="A4" s="14" t="inlineStr">
        <is>
          <t>4 - Likely</t>
        </is>
      </c>
      <c r="B4" s="14" t="inlineStr">
        <is>
          <t>4 — Low</t>
        </is>
      </c>
      <c r="C4" s="14" t="inlineStr">
        <is>
          <t>8 — Medium</t>
        </is>
      </c>
      <c r="D4" s="14" t="inlineStr">
        <is>
          <t>12 — High</t>
        </is>
      </c>
      <c r="E4" s="14" t="inlineStr">
        <is>
          <t>16 — High</t>
        </is>
      </c>
      <c r="F4" s="14" t="inlineStr">
        <is>
          <t>20 — Critical</t>
        </is>
      </c>
    </row>
    <row r="5">
      <c r="A5" s="14" t="inlineStr">
        <is>
          <t>3 - Possible</t>
        </is>
      </c>
      <c r="B5" s="14" t="inlineStr">
        <is>
          <t>3 — Low</t>
        </is>
      </c>
      <c r="C5" s="14" t="inlineStr">
        <is>
          <t>6 — Medium</t>
        </is>
      </c>
      <c r="D5" s="14" t="inlineStr">
        <is>
          <t>9 — Medium</t>
        </is>
      </c>
      <c r="E5" s="14" t="inlineStr">
        <is>
          <t>12 — High</t>
        </is>
      </c>
      <c r="F5" s="14" t="inlineStr">
        <is>
          <t>15 — High</t>
        </is>
      </c>
    </row>
    <row r="6">
      <c r="A6" s="14" t="inlineStr">
        <is>
          <t>2 - Unlikely</t>
        </is>
      </c>
      <c r="B6" s="14" t="inlineStr">
        <is>
          <t>2 — Low</t>
        </is>
      </c>
      <c r="C6" s="14" t="inlineStr">
        <is>
          <t>4 — Low</t>
        </is>
      </c>
      <c r="D6" s="14" t="inlineStr">
        <is>
          <t>6 — Medium</t>
        </is>
      </c>
      <c r="E6" s="14" t="inlineStr">
        <is>
          <t>8 — Medium</t>
        </is>
      </c>
      <c r="F6" s="14" t="inlineStr">
        <is>
          <t>10 — High</t>
        </is>
      </c>
    </row>
    <row r="7">
      <c r="A7" s="14" t="inlineStr">
        <is>
          <t>1 - Rare</t>
        </is>
      </c>
      <c r="B7" s="14" t="inlineStr">
        <is>
          <t>1 — Low</t>
        </is>
      </c>
      <c r="C7" s="14" t="inlineStr">
        <is>
          <t>2 — Low</t>
        </is>
      </c>
      <c r="D7" s="14" t="inlineStr">
        <is>
          <t>3 — Low</t>
        </is>
      </c>
      <c r="E7" s="14" t="inlineStr">
        <is>
          <t>4 — Low</t>
        </is>
      </c>
      <c r="F7" s="14" t="inlineStr">
        <is>
          <t>5 — Medium</t>
        </is>
      </c>
    </row>
    <row r="10">
      <c r="A10" s="15" t="inlineStr">
        <is>
          <t>Scoring formula</t>
        </is>
      </c>
      <c r="B10" t="inlineStr">
        <is>
          <t>Inherent Risk Score = Likelihood × Impact (each rated 1–5).</t>
        </is>
      </c>
    </row>
    <row r="11">
      <c r="A11" s="15" t="inlineStr">
        <is>
          <t>Rating bands</t>
        </is>
      </c>
      <c r="B11" t="inlineStr">
        <is>
          <t>1–4 Low | 5–9 Medium | 10–16 High | 17–25 Critical</t>
        </is>
      </c>
    </row>
    <row r="13" ht="32" customHeight="1">
      <c r="A13" s="15" t="inlineStr">
        <is>
          <t>Important</t>
        </is>
      </c>
      <c r="B13" s="16" t="inlineStr">
        <is>
          <t>These ratings are illustrative starting assumptions for a fictional case. Validate likelihood, impact, and risk appetite before using conclusions.</t>
        </is>
      </c>
    </row>
    <row r="14"/>
  </sheetData>
  <mergeCells count="4">
    <mergeCell ref="B13:F14"/>
    <mergeCell ref="B10:F10"/>
    <mergeCell ref="A1:F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2026-10-09T19:04:19Z</dcterms:created>
  <dcterms:modified xmlns:dcterms="http://purl.org/dc/terms/" xmlns:xsi="http://www.w3.org/2001/XMLSchema-instance" xsi:type="dcterms:W3CDTF">2026-10-09T19:04:19Z</dcterms:modified>
</cp:coreProperties>
</file>