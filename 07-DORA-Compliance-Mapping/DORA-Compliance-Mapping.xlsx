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DORA Mapping"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dd-mmm-yyyy"/>
  </numFmts>
  <fonts count="6">
    <font>
      <name val="Calibri"/>
      <family val="2"/>
      <color theme="1"/>
      <sz val="11"/>
      <scheme val="minor"/>
    </font>
    <font>
      <b val="1"/>
      <color rgb="00FFFFFF"/>
      <sz val="10"/>
    </font>
    <font>
      <b val="1"/>
      <color rgb="001F4E78"/>
    </font>
    <font>
      <b val="1"/>
      <color rgb="00FFFFFF"/>
      <sz val="18"/>
    </font>
    <font>
      <b val="1"/>
      <color rgb="00FFFFFF"/>
      <sz val="16"/>
    </font>
    <font>
      <b val="1"/>
      <color rgb="00FFFFFF"/>
    </font>
  </fonts>
  <fills count="6">
    <fill>
      <patternFill/>
    </fill>
    <fill>
      <patternFill patternType="gray125"/>
    </fill>
    <fill>
      <patternFill patternType="solid">
        <fgColor rgb="0017365D"/>
      </patternFill>
    </fill>
    <fill>
      <patternFill patternType="solid">
        <fgColor rgb="00F3F6F9"/>
      </patternFill>
    </fill>
    <fill>
      <patternFill patternType="solid">
        <fgColor rgb="00D9EAF7"/>
      </patternFill>
    </fill>
    <fill>
      <patternFill patternType="solid">
        <fgColor rgb="001F4E78"/>
      </patternFill>
    </fill>
  </fills>
  <borders count="2">
    <border>
      <left/>
      <right/>
      <top/>
      <bottom/>
      <diagonal/>
    </border>
    <border>
      <bottom style="thin">
        <color rgb="00D6DEE8"/>
      </bottom>
    </border>
  </borders>
  <cellStyleXfs count="1">
    <xf numFmtId="0" fontId="0" fillId="0" borderId="0"/>
  </cellStyleXfs>
  <cellXfs count="13">
    <xf numFmtId="0" fontId="0" fillId="0" borderId="0" pivotButton="0" quotePrefix="0" xfId="0"/>
    <xf numFmtId="0" fontId="3" fillId="2" borderId="0" pivotButton="0" quotePrefix="0" xfId="0"/>
    <xf numFmtId="0" fontId="2" fillId="4" borderId="1" pivotButton="0" quotePrefix="0" xfId="0"/>
    <xf numFmtId="0" fontId="0" fillId="0" borderId="1" applyAlignment="1" pivotButton="0" quotePrefix="0" xfId="0">
      <alignment vertical="top" wrapText="1"/>
    </xf>
    <xf numFmtId="0" fontId="0" fillId="0" borderId="1" pivotButton="0" quotePrefix="0" xfId="0"/>
    <xf numFmtId="0" fontId="4" fillId="2" borderId="0" pivotButton="0" quotePrefix="0" xfId="0"/>
    <xf numFmtId="0" fontId="5" fillId="5"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0" fillId="3" borderId="1" applyAlignment="1" pivotButton="0" quotePrefix="0" xfId="0">
      <alignment vertical="top" wrapText="1"/>
    </xf>
    <xf numFmtId="165" fontId="0" fillId="3" borderId="1" applyAlignment="1" pivotButton="0" quotePrefix="0" xfId="0">
      <alignment vertical="top" wrapText="1"/>
    </xf>
    <xf numFmtId="0" fontId="2" fillId="0" borderId="1" applyAlignment="1" pivotButton="0" quotePrefix="0" xfId="0">
      <alignment vertical="top" wrapText="1"/>
    </xf>
    <xf numFmtId="165" fontId="0" fillId="0" borderId="1" applyAlignment="1" pivotButton="0" quotePrefix="0" xfId="0">
      <alignment vertical="top" wrapText="1"/>
    </xf>
  </cellXfs>
  <cellStyles count="1">
    <cellStyle name="Normal" xfId="0" builtinId="0" hidden="0"/>
  </cellStyles>
  <dxfs count="9">
    <dxf>
      <fill>
        <patternFill patternType="solid">
          <fgColor rgb="00C6EFCE"/>
        </patternFill>
      </fill>
    </dxf>
    <dxf>
      <fill>
        <patternFill patternType="solid">
          <fgColor rgb="00FFEB9C"/>
        </patternFill>
      </fill>
    </dxf>
    <dxf>
      <fill>
        <patternFill patternType="solid">
          <fgColor rgb="00DDEBF7"/>
        </patternFill>
      </fill>
    </dxf>
    <dxf>
      <fill>
        <patternFill patternType="solid">
          <fgColor rgb="00FFC7CE"/>
        </patternFill>
      </fill>
    </dxf>
    <dxf>
      <fill>
        <patternFill patternType="solid">
          <fgColor rgb="00E7E6E6"/>
        </patternFill>
      </fill>
    </dxf>
    <dxf>
      <fill>
        <patternFill patternType="solid">
          <fgColor rgb="00C00000"/>
        </patternFill>
      </fill>
    </dxf>
    <dxf>
      <fill>
        <patternFill patternType="solid">
          <fgColor rgb="00F4B183"/>
        </patternFill>
      </fill>
    </dxf>
    <dxf>
      <fill>
        <patternFill patternType="solid">
          <fgColor rgb="00FFE699"/>
        </patternFill>
      </fill>
    </dxf>
    <dxf>
      <fill>
        <patternFill patternType="solid">
          <fgColor rgb="00C6E0B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DORAMappingTable" displayName="DORAMappingTable" ref="A1:N21" headerRowCount="1">
  <autoFilter ref="A1:N21"/>
  <tableColumns count="14">
    <tableColumn id="1" name="Control ID"/>
    <tableColumn id="2" name="Internal Control / Process"/>
    <tableColumn id="3" name="DORA Area"/>
    <tableColumn id="4" name="DORA Reference (indicative)"/>
    <tableColumn id="5" name="Requirement Theme"/>
    <tableColumn id="6" name="Mapping Rationale"/>
    <tableColumn id="7" name="Illustrative Status"/>
    <tableColumn id="8" name="Gap / Observation"/>
    <tableColumn id="9" name="Recommended Action"/>
    <tableColumn id="10" name="Evidence to Collect"/>
    <tableColumn id="11" name="Owner"/>
    <tableColumn id="12" name="Priority"/>
    <tableColumn id="13" name="Target Date"/>
    <tableColumn id="14" name="Notes / Validation"/>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F10"/>
  <sheetViews>
    <sheetView workbookViewId="0">
      <pane ySplit="2" topLeftCell="A3" activePane="bottomLeft" state="frozen"/>
      <selection pane="bottomLeft" activeCell="A1" sqref="A1"/>
    </sheetView>
  </sheetViews>
  <sheetFormatPr baseColWidth="8" defaultRowHeight="15"/>
  <cols>
    <col width="25" customWidth="1" min="1" max="1"/>
    <col width="22" customWidth="1" min="2" max="2"/>
    <col width="22" customWidth="1" min="3" max="3"/>
    <col width="22" customWidth="1" min="4" max="4"/>
    <col width="22" customWidth="1" min="5" max="5"/>
    <col width="22" customWidth="1" min="6" max="6"/>
  </cols>
  <sheetData>
    <row r="1" ht="34" customHeight="1">
      <c r="A1" s="1" t="inlineStr">
        <is>
          <t>BalticTrust Bank — DORA Compliance Mapping</t>
        </is>
      </c>
    </row>
    <row r="3" ht="44" customHeight="1">
      <c r="A3" s="2" t="inlineStr">
        <is>
          <t>Purpose</t>
        </is>
      </c>
      <c r="B3" s="3" t="inlineStr">
        <is>
          <t>Illustrative mapping of selected internal controls to relevant Digital Operational Resilience Act (DORA) requirement themes for the fictional BalticTrust Bank portfolio.</t>
        </is>
      </c>
      <c r="C3" s="4" t="n"/>
      <c r="D3" s="4" t="n"/>
      <c r="E3" s="4" t="n"/>
      <c r="F3" s="4" t="n"/>
    </row>
    <row r="4" ht="44" customHeight="1">
      <c r="A4" s="2" t="inlineStr">
        <is>
          <t>Workbook contents</t>
        </is>
      </c>
      <c r="B4" s="3" t="inlineStr">
        <is>
          <t>The DORA Mapping sheet contains 20 example control mappings, indicative article references, rationale, fictional status, gaps, recommended actions, evidence suggestions, owners, priorities, and target dates.</t>
        </is>
      </c>
      <c r="C4" s="4" t="n"/>
      <c r="D4" s="4" t="n"/>
      <c r="E4" s="4" t="n"/>
      <c r="F4" s="4" t="n"/>
    </row>
    <row r="5" ht="44" customHeight="1">
      <c r="A5" s="2" t="inlineStr">
        <is>
          <t>How to use</t>
        </is>
      </c>
      <c r="B5" s="3" t="inlineStr">
        <is>
          <t>Validate the legal reference and applicability for each row. Update status only when evidence supports it. Adapt owners and target dates to your project. Link rows to the risk register, control catalogue, and evidence register.</t>
        </is>
      </c>
      <c r="C5" s="4" t="n"/>
      <c r="D5" s="4" t="n"/>
      <c r="E5" s="4" t="n"/>
      <c r="F5" s="4" t="n"/>
    </row>
    <row r="6" ht="44" customHeight="1">
      <c r="A6" s="2" t="inlineStr">
        <is>
          <t>Scope and disclaimer</t>
        </is>
      </c>
      <c r="B6" s="3" t="inlineStr">
        <is>
          <t>BalticTrust Bank is fictional. This workbook is an educational portfolio artifact, not legal advice, a formal audit, or proof of compliance. Statuses and observations are illustrative assumptions, not verified findings.</t>
        </is>
      </c>
      <c r="C6" s="4" t="n"/>
      <c r="D6" s="4" t="n"/>
      <c r="E6" s="4" t="n"/>
      <c r="F6" s="4" t="n"/>
    </row>
    <row r="7" ht="44" customHeight="1">
      <c r="A7" s="2" t="inlineStr">
        <is>
          <t>Legal validation</t>
        </is>
      </c>
      <c r="B7" s="3" t="inlineStr">
        <is>
          <t>DORA requirements may be supplemented by delegated acts, regulatory technical standards, implementing standards, and competent-authority instructions. Check the current consolidated EU legal text and current applicable materials before relying on any mapping.</t>
        </is>
      </c>
      <c r="C7" s="4" t="n"/>
      <c r="D7" s="4" t="n"/>
      <c r="E7" s="4" t="n"/>
      <c r="F7" s="4" t="n"/>
    </row>
    <row r="8" ht="32" customHeight="1">
      <c r="A8" s="2" t="inlineStr">
        <is>
          <t>Official EU law</t>
        </is>
      </c>
      <c r="B8" s="3" t="inlineStr">
        <is>
          <t>Regulation (EU) 2022/2554 (DORA): https://eur-lex.europa.eu/eli/reg/2022/2554/oj</t>
        </is>
      </c>
      <c r="C8" s="4" t="n"/>
      <c r="D8" s="4" t="n"/>
      <c r="E8" s="4" t="n"/>
      <c r="F8" s="4" t="n"/>
    </row>
    <row r="9" ht="32" customHeight="1">
      <c r="A9" s="2" t="inlineStr">
        <is>
          <t>European Commission</t>
        </is>
      </c>
      <c r="B9" s="3" t="inlineStr">
        <is>
          <t>Digital Operational Resilience Act (DORA): https://finance.ec.europa.eu/digital-finance/digital-operational-resilience-act_en</t>
        </is>
      </c>
      <c r="C9" s="4" t="n"/>
      <c r="D9" s="4" t="n"/>
      <c r="E9" s="4" t="n"/>
      <c r="F9" s="4" t="n"/>
    </row>
    <row r="10" ht="44" customHeight="1">
      <c r="A10" s="2" t="inlineStr">
        <is>
          <t>Recommended next step</t>
        </is>
      </c>
      <c r="B10" s="3" t="inlineStr">
        <is>
          <t>Use this mapping with the existing asset inventory, risk register, security control catalogue, ISO 27001 mapping, and NIST CSF 2.0 mapping. Keep traceability between internal control IDs and evidence.</t>
        </is>
      </c>
      <c r="C10" s="4" t="n"/>
      <c r="D10" s="4" t="n"/>
      <c r="E10" s="4" t="n"/>
      <c r="F10" s="4" t="n"/>
    </row>
  </sheetData>
  <mergeCells count="9">
    <mergeCell ref="B4:F4"/>
    <mergeCell ref="B7:F7"/>
    <mergeCell ref="B6:F6"/>
    <mergeCell ref="B10:F10"/>
    <mergeCell ref="A1:F1"/>
    <mergeCell ref="B3:F3"/>
    <mergeCell ref="B5:F5"/>
    <mergeCell ref="B8:F8"/>
    <mergeCell ref="B9:F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8" customWidth="1" min="1" max="1"/>
    <col width="18" customWidth="1" min="2" max="2"/>
    <col width="42" customWidth="1" min="3" max="3"/>
  </cols>
  <sheetData>
    <row r="1">
      <c r="A1" s="5" t="inlineStr">
        <is>
          <t>DORA Compliance Mapping — Summary</t>
        </is>
      </c>
    </row>
    <row r="2">
      <c r="A2" s="6" t="inlineStr">
        <is>
          <t>Metric</t>
        </is>
      </c>
      <c r="B2" s="6" t="inlineStr">
        <is>
          <t>Value</t>
        </is>
      </c>
      <c r="C2" s="6" t="inlineStr">
        <is>
          <t>Notes</t>
        </is>
      </c>
    </row>
    <row r="3">
      <c r="A3" s="3" t="inlineStr">
        <is>
          <t>Total mapped controls</t>
        </is>
      </c>
      <c r="B3" s="3">
        <f>COUNTA('DORA Mapping'!A2:A21)</f>
        <v/>
      </c>
      <c r="C3" s="3" t="inlineStr">
        <is>
          <t>Illustrative mappings</t>
        </is>
      </c>
    </row>
    <row r="4">
      <c r="A4" s="3" t="inlineStr">
        <is>
          <t>Implemented</t>
        </is>
      </c>
      <c r="B4" s="3">
        <f>COUNTIF('DORA Mapping'!G2:G21,"Implemented")</f>
        <v/>
      </c>
      <c r="C4" s="3" t="inlineStr">
        <is>
          <t>Evidence required</t>
        </is>
      </c>
    </row>
    <row r="5">
      <c r="A5" s="3" t="inlineStr">
        <is>
          <t>Partial</t>
        </is>
      </c>
      <c r="B5" s="3">
        <f>COUNTIF('DORA Mapping'!G2:G21,"Partial")</f>
        <v/>
      </c>
      <c r="C5" s="3" t="inlineStr">
        <is>
          <t>Fictional initial status</t>
        </is>
      </c>
    </row>
    <row r="6">
      <c r="A6" s="3" t="inlineStr">
        <is>
          <t>Planned</t>
        </is>
      </c>
      <c r="B6" s="3">
        <f>COUNTIF('DORA Mapping'!G2:G21,"Planned")</f>
        <v/>
      </c>
      <c r="C6" s="3" t="inlineStr">
        <is>
          <t>Work proposed / not yet evidenced</t>
        </is>
      </c>
    </row>
    <row r="7">
      <c r="A7" s="3" t="inlineStr">
        <is>
          <t>Not Implemented</t>
        </is>
      </c>
      <c r="B7" s="3">
        <f>COUNTIF('DORA Mapping'!G2:G21,"Not Implemented")</f>
        <v/>
      </c>
      <c r="C7" s="3" t="inlineStr">
        <is>
          <t>Assessed and absent</t>
        </is>
      </c>
    </row>
    <row r="8">
      <c r="A8" s="3" t="inlineStr">
        <is>
          <t>Not Assessed</t>
        </is>
      </c>
      <c r="B8" s="3">
        <f>COUNTIF('DORA Mapping'!G2:G21,"Not Assessed")</f>
        <v/>
      </c>
      <c r="C8" s="3" t="inlineStr">
        <is>
          <t>Pending review</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1"/>
  <sheetViews>
    <sheetView workbookViewId="0">
      <pane ySplit="1" topLeftCell="A2" activePane="bottomLeft" state="frozen"/>
      <selection pane="bottomLeft" activeCell="A1" sqref="A1"/>
    </sheetView>
  </sheetViews>
  <sheetFormatPr baseColWidth="8" defaultRowHeight="15"/>
  <cols>
    <col width="15" customWidth="1" min="1" max="1"/>
    <col width="34" customWidth="1" min="2" max="2"/>
    <col width="27" customWidth="1" min="3" max="3"/>
    <col width="24" customWidth="1" min="4" max="4"/>
    <col width="42" customWidth="1" min="5" max="5"/>
    <col width="53" customWidth="1" min="6" max="6"/>
    <col width="20" customWidth="1" min="7" max="7"/>
    <col width="48" customWidth="1" min="8" max="8"/>
    <col width="55" customWidth="1" min="9" max="9"/>
    <col width="42" customWidth="1" min="10" max="10"/>
    <col width="29" customWidth="1" min="11" max="11"/>
    <col width="13" customWidth="1" min="12" max="12"/>
    <col width="16" customWidth="1" min="13" max="13"/>
    <col width="55" customWidth="1" min="14" max="14"/>
  </cols>
  <sheetData>
    <row r="1" ht="42" customHeight="1">
      <c r="A1" s="7" t="inlineStr">
        <is>
          <t>Control ID</t>
        </is>
      </c>
      <c r="B1" s="7" t="inlineStr">
        <is>
          <t>Internal Control / Process</t>
        </is>
      </c>
      <c r="C1" s="7" t="inlineStr">
        <is>
          <t>DORA Area</t>
        </is>
      </c>
      <c r="D1" s="7" t="inlineStr">
        <is>
          <t>DORA Reference (indicative)</t>
        </is>
      </c>
      <c r="E1" s="7" t="inlineStr">
        <is>
          <t>Requirement Theme</t>
        </is>
      </c>
      <c r="F1" s="7" t="inlineStr">
        <is>
          <t>Mapping Rationale</t>
        </is>
      </c>
      <c r="G1" s="7" t="inlineStr">
        <is>
          <t>Illustrative Status</t>
        </is>
      </c>
      <c r="H1" s="7" t="inlineStr">
        <is>
          <t>Gap / Observation</t>
        </is>
      </c>
      <c r="I1" s="7" t="inlineStr">
        <is>
          <t>Recommended Action</t>
        </is>
      </c>
      <c r="J1" s="7" t="inlineStr">
        <is>
          <t>Evidence to Collect</t>
        </is>
      </c>
      <c r="K1" s="7" t="inlineStr">
        <is>
          <t>Owner</t>
        </is>
      </c>
      <c r="L1" s="7" t="inlineStr">
        <is>
          <t>Priority</t>
        </is>
      </c>
      <c r="M1" s="7" t="inlineStr">
        <is>
          <t>Target Date</t>
        </is>
      </c>
      <c r="N1" s="7" t="inlineStr">
        <is>
          <t>Notes / Validation</t>
        </is>
      </c>
    </row>
    <row r="2">
      <c r="A2" s="8" t="inlineStr">
        <is>
          <t>BT-DORA-01</t>
        </is>
      </c>
      <c r="B2" s="9" t="inlineStr">
        <is>
          <t>ICT risk management framework</t>
        </is>
      </c>
      <c r="C2" s="9" t="inlineStr">
        <is>
          <t>ICT risk management</t>
        </is>
      </c>
      <c r="D2" s="9" t="inlineStr">
        <is>
          <t>Article 6</t>
        </is>
      </c>
      <c r="E2" s="9" t="inlineStr">
        <is>
          <t>ICT risk management framework</t>
        </is>
      </c>
      <c r="F2" s="9" t="inlineStr">
        <is>
          <t>DORA Article 6 addresses an ICT risk management framework and related governance responsibilities.</t>
        </is>
      </c>
      <c r="G2" s="9" t="inlineStr">
        <is>
          <t>Partial</t>
        </is>
      </c>
      <c r="H2" s="9" t="inlineStr">
        <is>
          <t>A formally approved framework and evidence of periodic review are not yet demonstrated in this fictional scenario.</t>
        </is>
      </c>
      <c r="I2" s="9" t="inlineStr">
        <is>
          <t>Define, approve, maintain, and periodically review an ICT risk management framework aligned to the institution's size, risk profile, and applicable requirements.</t>
        </is>
      </c>
      <c r="J2" s="9" t="inlineStr">
        <is>
          <t>Approved framework; governance minutes; review history</t>
        </is>
      </c>
      <c r="K2" s="9" t="inlineStr">
        <is>
          <t>ICT Risk Manager</t>
        </is>
      </c>
      <c r="L2" s="9" t="inlineStr">
        <is>
          <t>High</t>
        </is>
      </c>
      <c r="M2" s="10" t="n">
        <v>46402</v>
      </c>
      <c r="N2" s="9" t="inlineStr">
        <is>
          <t>Indicative article-level mapping only. Confirm applicability and current consolidated legal text.</t>
        </is>
      </c>
    </row>
    <row r="3">
      <c r="A3" s="11" t="inlineStr">
        <is>
          <t>BT-DORA-02</t>
        </is>
      </c>
      <c r="B3" s="3" t="inlineStr">
        <is>
          <t>Management body oversight</t>
        </is>
      </c>
      <c r="C3" s="3" t="inlineStr">
        <is>
          <t>Governance</t>
        </is>
      </c>
      <c r="D3" s="3" t="inlineStr">
        <is>
          <t>Article 5</t>
        </is>
      </c>
      <c r="E3" s="3" t="inlineStr">
        <is>
          <t>Management body responsibility</t>
        </is>
      </c>
      <c r="F3" s="3" t="inlineStr">
        <is>
          <t>Management body accountability and oversight are central to DORA ICT risk governance.</t>
        </is>
      </c>
      <c r="G3" s="3" t="inlineStr">
        <is>
          <t>Partial</t>
        </is>
      </c>
      <c r="H3" s="3" t="inlineStr">
        <is>
          <t>Responsibilities, reporting cadence, and training records for management oversight are not fully evidenced.</t>
        </is>
      </c>
      <c r="I3" s="3" t="inlineStr">
        <is>
          <t>Document management-body responsibilities, reporting, decision rights, and relevant ICT-risk training.</t>
        </is>
      </c>
      <c r="J3" s="3" t="inlineStr">
        <is>
          <t>Responsibility matrix; board reports; training records</t>
        </is>
      </c>
      <c r="K3" s="3" t="inlineStr">
        <is>
          <t>Executive Management / Compliance</t>
        </is>
      </c>
      <c r="L3" s="3" t="inlineStr">
        <is>
          <t>High</t>
        </is>
      </c>
      <c r="M3" s="12" t="n">
        <v>46407</v>
      </c>
      <c r="N3" s="3" t="inlineStr">
        <is>
          <t>Do not treat this workbook as a legal opinion.</t>
        </is>
      </c>
    </row>
    <row r="4">
      <c r="A4" s="8" t="inlineStr">
        <is>
          <t>BT-DORA-03</t>
        </is>
      </c>
      <c r="B4" s="9" t="inlineStr">
        <is>
          <t>ICT asset inventory and classification</t>
        </is>
      </c>
      <c r="C4" s="9" t="inlineStr">
        <is>
          <t>ICT risk management</t>
        </is>
      </c>
      <c r="D4" s="9" t="inlineStr">
        <is>
          <t>Article 8</t>
        </is>
      </c>
      <c r="E4" s="9" t="inlineStr">
        <is>
          <t>Identification and classification of ICT assets and functions</t>
        </is>
      </c>
      <c r="F4" s="9" t="inlineStr">
        <is>
          <t>Asset identification and classification support the understanding of ICT dependencies and risk.</t>
        </is>
      </c>
      <c r="G4" s="9" t="inlineStr">
        <is>
          <t>Partial</t>
        </is>
      </c>
      <c r="H4" s="9" t="inlineStr">
        <is>
          <t>Asset criticality, business-function linkage, and dependency records may be incomplete.</t>
        </is>
      </c>
      <c r="I4" s="9" t="inlineStr">
        <is>
          <t>Maintain an inventory of ICT assets and document criticality, ownership, dependencies, and supported business functions.</t>
        </is>
      </c>
      <c r="J4" s="9" t="inlineStr">
        <is>
          <t>Asset inventory; classification rules; dependency map</t>
        </is>
      </c>
      <c r="K4" s="9" t="inlineStr">
        <is>
          <t>IT Operations Manager</t>
        </is>
      </c>
      <c r="L4" s="9" t="inlineStr">
        <is>
          <t>High</t>
        </is>
      </c>
      <c r="M4" s="10" t="n">
        <v>46376</v>
      </c>
      <c r="N4" s="9" t="inlineStr">
        <is>
          <t>Cross-reference 02-Asset-Inventory.</t>
        </is>
      </c>
    </row>
    <row r="5">
      <c r="A5" s="11" t="inlineStr">
        <is>
          <t>BT-DORA-04</t>
        </is>
      </c>
      <c r="B5" s="3" t="inlineStr">
        <is>
          <t>ICT risk assessment and treatment</t>
        </is>
      </c>
      <c r="C5" s="3" t="inlineStr">
        <is>
          <t>ICT risk management</t>
        </is>
      </c>
      <c r="D5" s="3" t="inlineStr">
        <is>
          <t>Articles 6 and 8</t>
        </is>
      </c>
      <c r="E5" s="3" t="inlineStr">
        <is>
          <t>Risk identification, assessment, and treatment</t>
        </is>
      </c>
      <c r="F5" s="3" t="inlineStr">
        <is>
          <t>Risk assessment and treatment are core parts of ICT risk management.</t>
        </is>
      </c>
      <c r="G5" s="3" t="inlineStr">
        <is>
          <t>Partial</t>
        </is>
      </c>
      <c r="H5" s="3" t="inlineStr">
        <is>
          <t>Risk methodology, treatment decisions, and residual-risk acceptance require consistent evidence.</t>
        </is>
      </c>
      <c r="I5" s="3" t="inlineStr">
        <is>
          <t>Use a documented assessment method; assign owners; track treatment; escalate residual risks for approval.</t>
        </is>
      </c>
      <c r="J5" s="3" t="inlineStr">
        <is>
          <t>Risk register; risk methodology; treatment plans; acceptance records</t>
        </is>
      </c>
      <c r="K5" s="3" t="inlineStr">
        <is>
          <t>ICT Risk Manager</t>
        </is>
      </c>
      <c r="L5" s="3" t="inlineStr">
        <is>
          <t>High</t>
        </is>
      </c>
      <c r="M5" s="12" t="n">
        <v>46378</v>
      </c>
      <c r="N5" s="3" t="inlineStr">
        <is>
          <t>Cross-reference 03-Risk-Assessment.</t>
        </is>
      </c>
    </row>
    <row r="6">
      <c r="A6" s="8" t="inlineStr">
        <is>
          <t>BT-DORA-05</t>
        </is>
      </c>
      <c r="B6" s="9" t="inlineStr">
        <is>
          <t>ICT incident management process</t>
        </is>
      </c>
      <c r="C6" s="9" t="inlineStr">
        <is>
          <t>Incident management</t>
        </is>
      </c>
      <c r="D6" s="9" t="inlineStr">
        <is>
          <t>Article 17</t>
        </is>
      </c>
      <c r="E6" s="9" t="inlineStr">
        <is>
          <t>ICT-related incident management process</t>
        </is>
      </c>
      <c r="F6" s="9" t="inlineStr">
        <is>
          <t>DORA addresses management, classification, and recording of ICT-related incidents.</t>
        </is>
      </c>
      <c r="G6" s="9" t="inlineStr">
        <is>
          <t>Partial</t>
        </is>
      </c>
      <c r="H6" s="9" t="inlineStr">
        <is>
          <t>Incident classification criteria and a maintained incident register are not yet evidenced.</t>
        </is>
      </c>
      <c r="I6" s="9" t="inlineStr">
        <is>
          <t>Define incident intake, classification, escalation, response ownership, recordkeeping, and lessons learned.</t>
        </is>
      </c>
      <c r="J6" s="9" t="inlineStr">
        <is>
          <t>Incident procedure; incident register; exercise results</t>
        </is>
      </c>
      <c r="K6" s="9" t="inlineStr">
        <is>
          <t>Incident Response Lead</t>
        </is>
      </c>
      <c r="L6" s="9" t="inlineStr">
        <is>
          <t>High</t>
        </is>
      </c>
      <c r="M6" s="10" t="n">
        <v>46397</v>
      </c>
      <c r="N6" s="9" t="inlineStr">
        <is>
          <t>Reporting thresholds and timelines need separate legal validation.</t>
        </is>
      </c>
    </row>
    <row r="7">
      <c r="A7" s="11" t="inlineStr">
        <is>
          <t>BT-DORA-06</t>
        </is>
      </c>
      <c r="B7" s="3" t="inlineStr">
        <is>
          <t>Major ICT incident reporting</t>
        </is>
      </c>
      <c r="C7" s="3" t="inlineStr">
        <is>
          <t>Incident reporting</t>
        </is>
      </c>
      <c r="D7" s="3" t="inlineStr">
        <is>
          <t>Article 19</t>
        </is>
      </c>
      <c r="E7" s="3" t="inlineStr">
        <is>
          <t>Reporting of major ICT-related incidents</t>
        </is>
      </c>
      <c r="F7" s="3" t="inlineStr">
        <is>
          <t>DORA includes requirements for reporting major ICT-related incidents to relevant authorities.</t>
        </is>
      </c>
      <c r="G7" s="3" t="inlineStr">
        <is>
          <t>Planned</t>
        </is>
      </c>
      <c r="H7" s="3" t="inlineStr">
        <is>
          <t>Decision criteria, responsibility for reporting, and deadline tracking are not documented.</t>
        </is>
      </c>
      <c r="I7" s="3" t="inlineStr">
        <is>
          <t>Create a reporting workflow with classification decision points, responsible roles, escalation, and deadline tracking based on current applicable rules.</t>
        </is>
      </c>
      <c r="J7" s="3" t="inlineStr">
        <is>
          <t>Reporting procedure; templates; escalation matrix; tabletop evidence</t>
        </is>
      </c>
      <c r="K7" s="3" t="inlineStr">
        <is>
          <t>Compliance Officer / Incident Lead</t>
        </is>
      </c>
      <c r="L7" s="3" t="inlineStr">
        <is>
          <t>High</t>
        </is>
      </c>
      <c r="M7" s="12" t="n">
        <v>46412</v>
      </c>
      <c r="N7" s="3" t="inlineStr">
        <is>
          <t>Check current technical standards, competent-authority instructions, and applicable reporting timelines.</t>
        </is>
      </c>
    </row>
    <row r="8">
      <c r="A8" s="8" t="inlineStr">
        <is>
          <t>BT-DORA-07</t>
        </is>
      </c>
      <c r="B8" s="9" t="inlineStr">
        <is>
          <t>Business continuity and disaster recovery</t>
        </is>
      </c>
      <c r="C8" s="9" t="inlineStr">
        <is>
          <t>Digital operational resilience</t>
        </is>
      </c>
      <c r="D8" s="9" t="inlineStr">
        <is>
          <t>Article 11</t>
        </is>
      </c>
      <c r="E8" s="9" t="inlineStr">
        <is>
          <t>Response and recovery</t>
        </is>
      </c>
      <c r="F8" s="9" t="inlineStr">
        <is>
          <t>DORA addresses response and recovery policies and procedures as part of ICT risk management.</t>
        </is>
      </c>
      <c r="G8" s="9" t="inlineStr">
        <is>
          <t>Partial</t>
        </is>
      </c>
      <c r="H8" s="9" t="inlineStr">
        <is>
          <t>Recovery priorities, recovery objectives, and tested procedures need validation.</t>
        </is>
      </c>
      <c r="I8" s="9" t="inlineStr">
        <is>
          <t>Document ICT continuity and recovery plans, define service priorities and recovery objectives, and test restoration.</t>
        </is>
      </c>
      <c r="J8" s="9" t="inlineStr">
        <is>
          <t>BCP/DR plans; backup restore tests; exercise report</t>
        </is>
      </c>
      <c r="K8" s="9" t="inlineStr">
        <is>
          <t>Business Continuity Manager</t>
        </is>
      </c>
      <c r="L8" s="9" t="inlineStr">
        <is>
          <t>High</t>
        </is>
      </c>
      <c r="M8" s="10" t="n">
        <v>46419</v>
      </c>
      <c r="N8" s="9" t="inlineStr">
        <is>
          <t>Cross-reference planned BCP/DR portfolio stage.</t>
        </is>
      </c>
    </row>
    <row r="9">
      <c r="A9" s="11" t="inlineStr">
        <is>
          <t>BT-DORA-08</t>
        </is>
      </c>
      <c r="B9" s="3" t="inlineStr">
        <is>
          <t>Backup and restoration</t>
        </is>
      </c>
      <c r="C9" s="3" t="inlineStr">
        <is>
          <t>Digital operational resilience</t>
        </is>
      </c>
      <c r="D9" s="3" t="inlineStr">
        <is>
          <t>Article 12</t>
        </is>
      </c>
      <c r="E9" s="3" t="inlineStr">
        <is>
          <t>Backup policies and restoration procedures</t>
        </is>
      </c>
      <c r="F9" s="3" t="inlineStr">
        <is>
          <t>DORA addresses backup policies, restoration procedures, and related testing expectations.</t>
        </is>
      </c>
      <c r="G9" s="3" t="inlineStr">
        <is>
          <t>Partial</t>
        </is>
      </c>
      <c r="H9" s="3" t="inlineStr">
        <is>
          <t>Backup coverage, protection, restoration testing, and ownership are not fully evidenced.</t>
        </is>
      </c>
      <c r="I9" s="3" t="inlineStr">
        <is>
          <t>Define backup scope, protection, retention, restoration responsibilities, and periodic restore tests for critical data and systems.</t>
        </is>
      </c>
      <c r="J9" s="3" t="inlineStr">
        <is>
          <t>Backup policy; backup reports; restore test results</t>
        </is>
      </c>
      <c r="K9" s="3" t="inlineStr">
        <is>
          <t>IT Operations Manager</t>
        </is>
      </c>
      <c r="L9" s="3" t="inlineStr">
        <is>
          <t>High</t>
        </is>
      </c>
      <c r="M9" s="12" t="n">
        <v>46417</v>
      </c>
      <c r="N9" s="3" t="inlineStr">
        <is>
          <t>Specific obligations depend on applicability and relevant detailed rules.</t>
        </is>
      </c>
    </row>
    <row r="10">
      <c r="A10" s="8" t="inlineStr">
        <is>
          <t>BT-DORA-09</t>
        </is>
      </c>
      <c r="B10" s="9" t="inlineStr">
        <is>
          <t>ICT change and patch management</t>
        </is>
      </c>
      <c r="C10" s="9" t="inlineStr">
        <is>
          <t>ICT risk management</t>
        </is>
      </c>
      <c r="D10" s="9" t="inlineStr">
        <is>
          <t>Article 9</t>
        </is>
      </c>
      <c r="E10" s="9" t="inlineStr">
        <is>
          <t>Protection and prevention</t>
        </is>
      </c>
      <c r="F10" s="9" t="inlineStr">
        <is>
          <t>Secure ICT operations and protection measures include relevant change and vulnerability management practices.</t>
        </is>
      </c>
      <c r="G10" s="9" t="inlineStr">
        <is>
          <t>Partial</t>
        </is>
      </c>
      <c r="H10" s="9" t="inlineStr">
        <is>
          <t>Change approvals, emergency changes, patch timelines, and exceptions are not consistently evidenced.</t>
        </is>
      </c>
      <c r="I10" s="9" t="inlineStr">
        <is>
          <t>Implement risk-based change controls, patch SLAs, emergency change review, and exception tracking.</t>
        </is>
      </c>
      <c r="J10" s="9" t="inlineStr">
        <is>
          <t>Change records; patch reports; exception register</t>
        </is>
      </c>
      <c r="K10" s="9" t="inlineStr">
        <is>
          <t>IT Operations Manager</t>
        </is>
      </c>
      <c r="L10" s="9" t="inlineStr">
        <is>
          <t>High</t>
        </is>
      </c>
      <c r="M10" s="10" t="n">
        <v>46402</v>
      </c>
      <c r="N10" s="9" t="inlineStr">
        <is>
          <t>Article mapping is indicative; validate detailed requirement-to-control links.</t>
        </is>
      </c>
    </row>
    <row r="11">
      <c r="A11" s="11" t="inlineStr">
        <is>
          <t>BT-DORA-10</t>
        </is>
      </c>
      <c r="B11" s="3" t="inlineStr">
        <is>
          <t>Identity and access management</t>
        </is>
      </c>
      <c r="C11" s="3" t="inlineStr">
        <is>
          <t>ICT risk management</t>
        </is>
      </c>
      <c r="D11" s="3" t="inlineStr">
        <is>
          <t>Article 9</t>
        </is>
      </c>
      <c r="E11" s="3" t="inlineStr">
        <is>
          <t>Protection and prevention</t>
        </is>
      </c>
      <c r="F11" s="3" t="inlineStr">
        <is>
          <t>Access controls and protection measures support reducing unauthorized access and ICT risk.</t>
        </is>
      </c>
      <c r="G11" s="3" t="inlineStr">
        <is>
          <t>Partial</t>
        </is>
      </c>
      <c r="H11" s="3" t="inlineStr">
        <is>
          <t>Privileged access reviews and MFA coverage are not fully verified.</t>
        </is>
      </c>
      <c r="I11" s="3" t="inlineStr">
        <is>
          <t>Review access rights periodically, strengthen privileged access, implement MFA where appropriate, and document exceptions.</t>
        </is>
      </c>
      <c r="J11" s="3" t="inlineStr">
        <is>
          <t>Access review reports; MFA coverage; privileged access procedure</t>
        </is>
      </c>
      <c r="K11" s="3" t="inlineStr">
        <is>
          <t>IAM Administrator</t>
        </is>
      </c>
      <c r="L11" s="3" t="inlineStr">
        <is>
          <t>High</t>
        </is>
      </c>
      <c r="M11" s="12" t="n">
        <v>46399</v>
      </c>
      <c r="N11" s="3" t="inlineStr">
        <is>
          <t>Cross-reference security control catalogue.</t>
        </is>
      </c>
    </row>
    <row r="12">
      <c r="A12" s="8" t="inlineStr">
        <is>
          <t>BT-DORA-11</t>
        </is>
      </c>
      <c r="B12" s="9" t="inlineStr">
        <is>
          <t>Security monitoring and logging</t>
        </is>
      </c>
      <c r="C12" s="9" t="inlineStr">
        <is>
          <t>Detection and response</t>
        </is>
      </c>
      <c r="D12" s="9" t="inlineStr">
        <is>
          <t>Articles 10 and 17</t>
        </is>
      </c>
      <c r="E12" s="9" t="inlineStr">
        <is>
          <t>Detection of anomalous activities and incident handling</t>
        </is>
      </c>
      <c r="F12" s="9" t="inlineStr">
        <is>
          <t>Monitoring and event analysis support detection and incident handling.</t>
        </is>
      </c>
      <c r="G12" s="9" t="inlineStr">
        <is>
          <t>Partial</t>
        </is>
      </c>
      <c r="H12" s="9" t="inlineStr">
        <is>
          <t>Critical log sources, monitoring coverage, and alert escalation need evidence.</t>
        </is>
      </c>
      <c r="I12" s="9" t="inlineStr">
        <is>
          <t>Define monitored systems, alert triage, log retention, and escalation responsibilities; test alert handling.</t>
        </is>
      </c>
      <c r="J12" s="9" t="inlineStr">
        <is>
          <t>Logging standard; monitoring coverage report; alert tickets</t>
        </is>
      </c>
      <c r="K12" s="9" t="inlineStr">
        <is>
          <t>SOC Lead</t>
        </is>
      </c>
      <c r="L12" s="9" t="inlineStr">
        <is>
          <t>High</t>
        </is>
      </c>
      <c r="M12" s="10" t="n">
        <v>46409</v>
      </c>
      <c r="N12" s="9" t="inlineStr">
        <is>
          <t>Use fictional evidence examples only in a public portfolio.</t>
        </is>
      </c>
    </row>
    <row r="13">
      <c r="A13" s="11" t="inlineStr">
        <is>
          <t>BT-DORA-12</t>
        </is>
      </c>
      <c r="B13" s="3" t="inlineStr">
        <is>
          <t>ICT third-party register of information</t>
        </is>
      </c>
      <c r="C13" s="3" t="inlineStr">
        <is>
          <t>ICT third-party risk</t>
        </is>
      </c>
      <c r="D13" s="3" t="inlineStr">
        <is>
          <t>Article 28</t>
        </is>
      </c>
      <c r="E13" s="3" t="inlineStr">
        <is>
          <t>General principles for managing ICT third-party risk</t>
        </is>
      </c>
      <c r="F13" s="3" t="inlineStr">
        <is>
          <t>DORA includes requirements for managing ICT third-party risk and maintaining information about contractual arrangements.</t>
        </is>
      </c>
      <c r="G13" s="3" t="inlineStr">
        <is>
          <t>Partial</t>
        </is>
      </c>
      <c r="H13" s="3" t="inlineStr">
        <is>
          <t>Supplier records, service descriptions, criticality, and contract information may be incomplete.</t>
        </is>
      </c>
      <c r="I13" s="3" t="inlineStr">
        <is>
          <t>Maintain a structured register of ICT third-party arrangements and validate required fields against current applicable rules and templates.</t>
        </is>
      </c>
      <c r="J13" s="3" t="inlineStr">
        <is>
          <t>Register of information; supplier inventory; contract records</t>
        </is>
      </c>
      <c r="K13" s="3" t="inlineStr">
        <is>
          <t>Third-Party Risk Manager</t>
        </is>
      </c>
      <c r="L13" s="3" t="inlineStr">
        <is>
          <t>High</t>
        </is>
      </c>
      <c r="M13" s="12" t="n">
        <v>46417</v>
      </c>
      <c r="N13" s="3" t="inlineStr">
        <is>
          <t>Register formats and related technical standards should be checked against current EU materials.</t>
        </is>
      </c>
    </row>
    <row r="14">
      <c r="A14" s="8" t="inlineStr">
        <is>
          <t>BT-DORA-13</t>
        </is>
      </c>
      <c r="B14" s="9" t="inlineStr">
        <is>
          <t>ICT supplier due diligence and monitoring</t>
        </is>
      </c>
      <c r="C14" s="9" t="inlineStr">
        <is>
          <t>ICT third-party risk</t>
        </is>
      </c>
      <c r="D14" s="9" t="inlineStr">
        <is>
          <t>Articles 28 and 30</t>
        </is>
      </c>
      <c r="E14" s="9" t="inlineStr">
        <is>
          <t>Risk assessment and contractual arrangements</t>
        </is>
      </c>
      <c r="F14" s="9" t="inlineStr">
        <is>
          <t>Supplier due diligence, ongoing risk management, and contractual provisions are relevant to DORA third-party risk controls.</t>
        </is>
      </c>
      <c r="G14" s="9" t="inlineStr">
        <is>
          <t>Partial</t>
        </is>
      </c>
      <c r="H14" s="9" t="inlineStr">
        <is>
          <t>Risk-tiered due diligence, reassessment, and contract security clauses are not consistently evidenced.</t>
        </is>
      </c>
      <c r="I14" s="9" t="inlineStr">
        <is>
          <t>Set risk tiers, due diligence requirements, reassessment frequency, incident notification clauses, audit/access rights, and exit considerations as applicable.</t>
        </is>
      </c>
      <c r="J14" s="9" t="inlineStr">
        <is>
          <t>Due-diligence assessments; contracts; supplier reviews; exit plans</t>
        </is>
      </c>
      <c r="K14" s="9" t="inlineStr">
        <is>
          <t>Third-Party Risk Manager</t>
        </is>
      </c>
      <c r="L14" s="9" t="inlineStr">
        <is>
          <t>High</t>
        </is>
      </c>
      <c r="M14" s="10" t="n">
        <v>46428</v>
      </c>
      <c r="N14" s="9" t="inlineStr">
        <is>
          <t>Review contract requirements with legal and procurement specialists.</t>
        </is>
      </c>
    </row>
    <row r="15">
      <c r="A15" s="11" t="inlineStr">
        <is>
          <t>BT-DORA-14</t>
        </is>
      </c>
      <c r="B15" s="3" t="inlineStr">
        <is>
          <t>Testing of ICT resilience</t>
        </is>
      </c>
      <c r="C15" s="3" t="inlineStr">
        <is>
          <t>Digital operational resilience testing</t>
        </is>
      </c>
      <c r="D15" s="3" t="inlineStr">
        <is>
          <t>Article 24</t>
        </is>
      </c>
      <c r="E15" s="3" t="inlineStr">
        <is>
          <t>General requirements for digital operational resilience testing</t>
        </is>
      </c>
      <c r="F15" s="3" t="inlineStr">
        <is>
          <t>DORA addresses a risk-based digital operational resilience testing programme.</t>
        </is>
      </c>
      <c r="G15" s="3" t="inlineStr">
        <is>
          <t>Planned</t>
        </is>
      </c>
      <c r="H15" s="3" t="inlineStr">
        <is>
          <t>A documented testing programme, schedule, and follow-up tracking are not evidenced.</t>
        </is>
      </c>
      <c r="I15" s="3" t="inlineStr">
        <is>
          <t>Create a risk-based testing plan, record scope and outcomes, track remediation, and validate tester independence where required.</t>
        </is>
      </c>
      <c r="J15" s="3" t="inlineStr">
        <is>
          <t>Test plan; test reports; remediation tracker</t>
        </is>
      </c>
      <c r="K15" s="3" t="inlineStr">
        <is>
          <t>Security Testing Lead</t>
        </is>
      </c>
      <c r="L15" s="3" t="inlineStr">
        <is>
          <t>High</t>
        </is>
      </c>
      <c r="M15" s="12" t="n">
        <v>46433</v>
      </c>
      <c r="N15" s="3" t="inlineStr">
        <is>
          <t>Advanced TLPT requirements apply only to entities and circumstances within scope.</t>
        </is>
      </c>
    </row>
    <row r="16">
      <c r="A16" s="8" t="inlineStr">
        <is>
          <t>BT-DORA-15</t>
        </is>
      </c>
      <c r="B16" s="9" t="inlineStr">
        <is>
          <t>Vulnerability assessment and remediation</t>
        </is>
      </c>
      <c r="C16" s="9" t="inlineStr">
        <is>
          <t>Digital operational resilience testing</t>
        </is>
      </c>
      <c r="D16" s="9" t="inlineStr">
        <is>
          <t>Articles 8, 9 and 24</t>
        </is>
      </c>
      <c r="E16" s="9" t="inlineStr">
        <is>
          <t>Risk identification and resilience testing</t>
        </is>
      </c>
      <c r="F16" s="9" t="inlineStr">
        <is>
          <t>Vulnerability management contributes to ICT risk identification, protection, and testing.</t>
        </is>
      </c>
      <c r="G16" s="9" t="inlineStr">
        <is>
          <t>Planned</t>
        </is>
      </c>
      <c r="H16" s="9" t="inlineStr">
        <is>
          <t>Regular vulnerability assessments and closure evidence are not established.</t>
        </is>
      </c>
      <c r="I16" s="9" t="inlineStr">
        <is>
          <t>Schedule authorized vulnerability assessments, prioritize findings by risk, and track fixes and exceptions.</t>
        </is>
      </c>
      <c r="J16" s="9" t="inlineStr">
        <is>
          <t>Scan reports; remediation tickets; exception approvals</t>
        </is>
      </c>
      <c r="K16" s="9" t="inlineStr">
        <is>
          <t>Security Engineer</t>
        </is>
      </c>
      <c r="L16" s="9" t="inlineStr">
        <is>
          <t>High</t>
        </is>
      </c>
      <c r="M16" s="10" t="n">
        <v>46423</v>
      </c>
      <c r="N16" s="9" t="inlineStr">
        <is>
          <t>Map detailed practices to current applicable requirements and standards.</t>
        </is>
      </c>
    </row>
    <row r="17">
      <c r="A17" s="11" t="inlineStr">
        <is>
          <t>BT-DORA-16</t>
        </is>
      </c>
      <c r="B17" s="3" t="inlineStr">
        <is>
          <t>Crisis communications</t>
        </is>
      </c>
      <c r="C17" s="3" t="inlineStr">
        <is>
          <t>Incident management and resilience</t>
        </is>
      </c>
      <c r="D17" s="3" t="inlineStr">
        <is>
          <t>Articles 11 and 14</t>
        </is>
      </c>
      <c r="E17" s="3" t="inlineStr">
        <is>
          <t>Communication and response arrangements</t>
        </is>
      </c>
      <c r="F17" s="3" t="inlineStr">
        <is>
          <t>DORA includes crisis communication arrangements within ICT risk and operational resilience expectations.</t>
        </is>
      </c>
      <c r="G17" s="3" t="inlineStr">
        <is>
          <t>Planned</t>
        </is>
      </c>
      <c r="H17" s="3" t="inlineStr">
        <is>
          <t>Internal and external communication roles and approval paths are not fully documented.</t>
        </is>
      </c>
      <c r="I17" s="3" t="inlineStr">
        <is>
          <t>Create a crisis communication matrix covering internal stakeholders, customers, relevant authorities, and suppliers where applicable.</t>
        </is>
      </c>
      <c r="J17" s="3" t="inlineStr">
        <is>
          <t>Communication plan; contact roles; tabletop exercise results</t>
        </is>
      </c>
      <c r="K17" s="3" t="inlineStr">
        <is>
          <t>Incident Response Lead</t>
        </is>
      </c>
      <c r="L17" s="3" t="inlineStr">
        <is>
          <t>Medium</t>
        </is>
      </c>
      <c r="M17" s="12" t="n">
        <v>46438</v>
      </c>
      <c r="N17" s="3" t="inlineStr">
        <is>
          <t>Actual notifications must follow current legal and competent-authority requirements.</t>
        </is>
      </c>
    </row>
    <row r="18">
      <c r="A18" s="8" t="inlineStr">
        <is>
          <t>BT-DORA-17</t>
        </is>
      </c>
      <c r="B18" s="9" t="inlineStr">
        <is>
          <t>ICT risk reporting and management information</t>
        </is>
      </c>
      <c r="C18" s="9" t="inlineStr">
        <is>
          <t>Governance</t>
        </is>
      </c>
      <c r="D18" s="9" t="inlineStr">
        <is>
          <t>Articles 5 and 6</t>
        </is>
      </c>
      <c r="E18" s="9" t="inlineStr">
        <is>
          <t>Management oversight and ICT risk governance</t>
        </is>
      </c>
      <c r="F18" s="9" t="inlineStr">
        <is>
          <t>Structured management information supports oversight of ICT risks and remediation.</t>
        </is>
      </c>
      <c r="G18" s="9" t="inlineStr">
        <is>
          <t>Partial</t>
        </is>
      </c>
      <c r="H18" s="9" t="inlineStr">
        <is>
          <t>A consolidated dashboard of key ICT risks, incidents, tests, and overdue actions is not evidenced.</t>
        </is>
      </c>
      <c r="I18" s="9" t="inlineStr">
        <is>
          <t>Develop a periodic dashboard with risk trends, incidents, resilience testing, supplier risks, and overdue remediation.</t>
        </is>
      </c>
      <c r="J18" s="9" t="inlineStr">
        <is>
          <t>Management dashboard; reporting pack; meeting minutes</t>
        </is>
      </c>
      <c r="K18" s="9" t="inlineStr">
        <is>
          <t>GRC Analyst</t>
        </is>
      </c>
      <c r="L18" s="9" t="inlineStr">
        <is>
          <t>Medium</t>
        </is>
      </c>
      <c r="M18" s="10" t="n">
        <v>46443</v>
      </c>
      <c r="N18" s="9" t="inlineStr">
        <is>
          <t>Align with governance and risk appetite.</t>
        </is>
      </c>
    </row>
    <row r="19">
      <c r="A19" s="11" t="inlineStr">
        <is>
          <t>BT-DORA-18</t>
        </is>
      </c>
      <c r="B19" s="3" t="inlineStr">
        <is>
          <t>ICT service dependency and criticality mapping</t>
        </is>
      </c>
      <c r="C19" s="3" t="inlineStr">
        <is>
          <t>ICT risk management</t>
        </is>
      </c>
      <c r="D19" s="3" t="inlineStr">
        <is>
          <t>Article 8</t>
        </is>
      </c>
      <c r="E19" s="3" t="inlineStr">
        <is>
          <t>Identification of critical or important functions and supporting assets</t>
        </is>
      </c>
      <c r="F19" s="3" t="inlineStr">
        <is>
          <t>Understanding dependencies supports risk assessment and operational resilience planning.</t>
        </is>
      </c>
      <c r="G19" s="3" t="inlineStr">
        <is>
          <t>Partial</t>
        </is>
      </c>
      <c r="H19" s="3" t="inlineStr">
        <is>
          <t>Mapping from critical business services to ICT assets and suppliers is incomplete.</t>
        </is>
      </c>
      <c r="I19" s="3" t="inlineStr">
        <is>
          <t>Map critical or important functions to applications, infrastructure, data, people, and ICT third parties; validate dependencies with service owners.</t>
        </is>
      </c>
      <c r="J19" s="3" t="inlineStr">
        <is>
          <t>Service maps; dependency register; business impact analysis</t>
        </is>
      </c>
      <c r="K19" s="3" t="inlineStr">
        <is>
          <t>Business Continuity Manager</t>
        </is>
      </c>
      <c r="L19" s="3" t="inlineStr">
        <is>
          <t>High</t>
        </is>
      </c>
      <c r="M19" s="12" t="n">
        <v>46412</v>
      </c>
      <c r="N19" s="3" t="inlineStr">
        <is>
          <t>Confirm classification and terminology against current applicable DORA requirements.</t>
        </is>
      </c>
    </row>
    <row r="20">
      <c r="A20" s="8" t="inlineStr">
        <is>
          <t>BT-DORA-19</t>
        </is>
      </c>
      <c r="B20" s="9" t="inlineStr">
        <is>
          <t>Audit findings and remediation tracking</t>
        </is>
      </c>
      <c r="C20" s="9" t="inlineStr">
        <is>
          <t>Assurance and improvement</t>
        </is>
      </c>
      <c r="D20" s="9" t="inlineStr">
        <is>
          <t>Articles 6 and 24</t>
        </is>
      </c>
      <c r="E20" s="9" t="inlineStr">
        <is>
          <t>Control review and remediation</t>
        </is>
      </c>
      <c r="F20" s="9" t="inlineStr">
        <is>
          <t>Independent review, testing outcomes, and remediation tracking support effective risk management and resilience improvement.</t>
        </is>
      </c>
      <c r="G20" s="9" t="inlineStr">
        <is>
          <t>Planned</t>
        </is>
      </c>
      <c r="H20" s="9" t="inlineStr">
        <is>
          <t>Findings, accountable owners, due dates, and closure evidence are not consolidated.</t>
        </is>
      </c>
      <c r="I20" s="9" t="inlineStr">
        <is>
          <t>Maintain a findings and remediation tracker with severity, root cause, owner, target date, evidence, and independent closure review.</t>
        </is>
      </c>
      <c r="J20" s="9" t="inlineStr">
        <is>
          <t>Audit findings register; remediation tracker; closure evidence</t>
        </is>
      </c>
      <c r="K20" s="9" t="inlineStr">
        <is>
          <t>GRC Analyst / Internal Audit</t>
        </is>
      </c>
      <c r="L20" s="9" t="inlineStr">
        <is>
          <t>Medium</t>
        </is>
      </c>
      <c r="M20" s="10" t="n">
        <v>46446</v>
      </c>
      <c r="N20" s="9" t="inlineStr">
        <is>
          <t>Illustrative control association; validate specific obligations for the entity.</t>
        </is>
      </c>
    </row>
    <row r="21">
      <c r="A21" s="11" t="inlineStr">
        <is>
          <t>BT-DORA-20</t>
        </is>
      </c>
      <c r="B21" s="3" t="inlineStr">
        <is>
          <t>ICT third-party exit planning</t>
        </is>
      </c>
      <c r="C21" s="3" t="inlineStr">
        <is>
          <t>ICT third-party risk</t>
        </is>
      </c>
      <c r="D21" s="3" t="inlineStr">
        <is>
          <t>Article 28</t>
        </is>
      </c>
      <c r="E21" s="3" t="inlineStr">
        <is>
          <t>Exit strategies and contingency measures</t>
        </is>
      </c>
      <c r="F21" s="3" t="inlineStr">
        <is>
          <t>Exit strategies and contingency measures are relevant to managing ICT third-party risks.</t>
        </is>
      </c>
      <c r="G21" s="3" t="inlineStr">
        <is>
          <t>Planned</t>
        </is>
      </c>
      <c r="H21" s="3" t="inlineStr">
        <is>
          <t>Exit planning for critical ICT services and concentration dependencies is not evidenced.</t>
        </is>
      </c>
      <c r="I21" s="3" t="inlineStr">
        <is>
          <t>Identify critical supplier dependencies and develop proportionate exit or transition plans, including data portability and continuity considerations.</t>
        </is>
      </c>
      <c r="J21" s="3" t="inlineStr">
        <is>
          <t>Supplier exit plans; dependency analysis; transition test records</t>
        </is>
      </c>
      <c r="K21" s="3" t="inlineStr">
        <is>
          <t>Third-Party Risk Manager</t>
        </is>
      </c>
      <c r="L21" s="3" t="inlineStr">
        <is>
          <t>High</t>
        </is>
      </c>
      <c r="M21" s="12" t="n">
        <v>46451</v>
      </c>
      <c r="N21" s="3" t="inlineStr">
        <is>
          <t>Specific applicability depends on the service, contract, and entity context.</t>
        </is>
      </c>
    </row>
  </sheetData>
  <conditionalFormatting sqref="G2:G21">
    <cfRule type="cellIs" priority="1" operator="equal" dxfId="0">
      <formula>"Implemented"</formula>
    </cfRule>
    <cfRule type="cellIs" priority="2" operator="equal" dxfId="1">
      <formula>"Partial"</formula>
    </cfRule>
    <cfRule type="cellIs" priority="3" operator="equal" dxfId="2">
      <formula>"Planned"</formula>
    </cfRule>
    <cfRule type="cellIs" priority="4" operator="equal" dxfId="3">
      <formula>"Not Implemented"</formula>
    </cfRule>
    <cfRule type="cellIs" priority="5" operator="equal" dxfId="4">
      <formula>"Not Assessed"</formula>
    </cfRule>
  </conditionalFormatting>
  <conditionalFormatting sqref="L2:L21">
    <cfRule type="cellIs" priority="6" operator="equal" dxfId="5">
      <formula>"Critical"</formula>
    </cfRule>
    <cfRule type="cellIs" priority="7" operator="equal" dxfId="6">
      <formula>"High"</formula>
    </cfRule>
    <cfRule type="cellIs" priority="8" operator="equal" dxfId="7">
      <formula>"Medium"</formula>
    </cfRule>
    <cfRule type="cellIs" priority="9" operator="equal" dxfId="8">
      <formula>"Low"</formula>
    </cfRule>
  </conditionalFormatting>
  <dataValidations count="2">
    <dataValidation sqref="G2:G21" showDropDown="0" showInputMessage="0" showErrorMessage="0" allowBlank="1" type="list">
      <formula1>"Implemented,Partial,Planned,Not Implemented,Not Assessed"</formula1>
    </dataValidation>
    <dataValidation sqref="L2:L21" showDropDown="0" showInputMessage="0" showErrorMessage="0" allowBlank="1" type="list">
      <formula1>"Critical,High,Medium,Low"</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2026-10-09T18:56:21Z</dcterms:created>
  <dcterms:modified xmlns:dcterms="http://purl.org/dc/terms/" xmlns:xsi="http://www.w3.org/2001/XMLSchema-instance" xsi:type="dcterms:W3CDTF">2026-10-09T18:56:21Z</dcterms:modified>
</cp:coreProperties>
</file>