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Eviden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</font>
    <font>
      <b val="1"/>
      <color rgb="00FFFFFF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idenceRegisterTable" displayName="EvidenceRegisterTable" ref="A1:T13" headerRowCount="1">
  <autoFilter ref="A1:T13"/>
  <tableColumns count="20">
    <tableColumn id="1" name="Evidence ID"/>
    <tableColumn id="2" name="Evidence Title"/>
    <tableColumn id="3" name="Evidence Type"/>
    <tableColumn id="4" name="Related Domain"/>
    <tableColumn id="5" name="Related Finding / Gap ID"/>
    <tableColumn id="6" name="Related Action ID"/>
    <tableColumn id="7" name="Control / Framework Reference"/>
    <tableColumn id="8" name="Description / What It Demonstrates"/>
    <tableColumn id="9" name="Source / System"/>
    <tableColumn id="10" name="Evidence Owner"/>
    <tableColumn id="11" name="Collection Date"/>
    <tableColumn id="12" name="Review Date"/>
    <tableColumn id="13" name="Sensitivity"/>
    <tableColumn id="14" name="Storage Location / Link"/>
    <tableColumn id="15" name="Integrity / Version"/>
    <tableColumn id="16" name="Review Status"/>
    <tableColumn id="17" name="Reviewer"/>
    <tableColumn id="18" name="Review Notes"/>
    <tableColumn id="19" name="Retention / Disposal Notes"/>
    <tableColumn id="20" name="Portfolio Us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4" customWidth="1" min="3" max="3"/>
  </cols>
  <sheetData>
    <row r="1" ht="34" customHeight="1">
      <c r="A1" s="1" t="inlineStr">
        <is>
          <t>BalticTrust Bank — Evidence Register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Interpretation</t>
        </is>
      </c>
    </row>
    <row r="3">
      <c r="A3" s="3" t="inlineStr">
        <is>
          <t>Total evidence items</t>
        </is>
      </c>
      <c r="B3" s="3">
        <f>COUNTA('Evidence Register'!A2:A13)</f>
        <v/>
      </c>
      <c r="C3" s="3" t="inlineStr">
        <is>
          <t>Example evidence entries and placeholders</t>
        </is>
      </c>
    </row>
    <row r="4">
      <c r="A4" s="3" t="inlineStr">
        <is>
          <t>Pending review</t>
        </is>
      </c>
      <c r="B4" s="3">
        <f>COUNTIF('Evidence Register'!P2:P13,"Pending Review")</f>
        <v/>
      </c>
      <c r="C4" s="3" t="inlineStr">
        <is>
          <t>Review relevance and quality</t>
        </is>
      </c>
    </row>
    <row r="5">
      <c r="A5" s="3" t="inlineStr">
        <is>
          <t>Accepted</t>
        </is>
      </c>
      <c r="B5" s="3">
        <f>COUNTIF('Evidence Register'!P2:P13,"Accepted")</f>
        <v/>
      </c>
      <c r="C5" s="3" t="inlineStr">
        <is>
          <t>Acceptance requires reviewer validation</t>
        </is>
      </c>
    </row>
    <row r="6">
      <c r="A6" s="3" t="inlineStr">
        <is>
          <t>Rejected</t>
        </is>
      </c>
      <c r="B6" s="3">
        <f>COUNTIF('Evidence Register'!P2:P13,"Rejected")</f>
        <v/>
      </c>
      <c r="C6" s="3" t="inlineStr">
        <is>
          <t>Replace or correct rejected items</t>
        </is>
      </c>
    </row>
    <row r="7">
      <c r="A7" s="3" t="inlineStr">
        <is>
          <t>Needs update</t>
        </is>
      </c>
      <c r="B7" s="3">
        <f>COUNTIF('Evidence Register'!P2:P13,"Needs Update")</f>
        <v/>
      </c>
      <c r="C7" s="3" t="inlineStr">
        <is>
          <t>Resolve review comments</t>
        </is>
      </c>
    </row>
    <row r="8">
      <c r="A8" s="3" t="inlineStr">
        <is>
          <t>Confidential / restricted</t>
        </is>
      </c>
      <c r="B8" s="3">
        <f>COUNTIF('Evidence Register'!M2:M13,"Confidential")+COUNTIF('Evidence Register'!M2:M13,"Restricted")</f>
        <v/>
      </c>
      <c r="C8" s="3" t="inlineStr">
        <is>
          <t>Handle carefully; do not publish sensitive records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BalticTrust Bank — Evidence Register</t>
        </is>
      </c>
    </row>
    <row r="3" ht="32" customHeight="1">
      <c r="A3" s="4" t="inlineStr">
        <is>
          <t>Purpose</t>
        </is>
      </c>
      <c r="B3" s="3" t="inlineStr">
        <is>
          <t>Maintain a traceable index of evidence that may support controls, risks, audit findings, and remediation actions.</t>
        </is>
      </c>
      <c r="C3" s="5" t="n"/>
      <c r="D3" s="5" t="n"/>
      <c r="E3" s="5" t="n"/>
      <c r="F3" s="5" t="n"/>
    </row>
    <row r="4" ht="44" customHeight="1">
      <c r="A4" s="4" t="inlineStr">
        <is>
          <t>Workbook sheets</t>
        </is>
      </c>
      <c r="B4" s="3" t="inlineStr">
        <is>
          <t>Summary: evidence counts and review status. Evidence Register: evidence metadata, links, owners, sensitivity, review notes, and related records.</t>
        </is>
      </c>
      <c r="C4" s="5" t="n"/>
      <c r="D4" s="5" t="n"/>
      <c r="E4" s="5" t="n"/>
      <c r="F4" s="5" t="n"/>
    </row>
    <row r="5" ht="44" customHeight="1">
      <c r="A5" s="4" t="inlineStr">
        <is>
          <t>How to use</t>
        </is>
      </c>
      <c r="B5" s="3" t="inlineStr">
        <is>
          <t>Replace placeholder entries with real evidence only where authorized; record title, source, owner, collection/review dates, sensitivity, location, version, reviewer, and review outcome.</t>
        </is>
      </c>
      <c r="C5" s="5" t="n"/>
      <c r="D5" s="5" t="n"/>
      <c r="E5" s="5" t="n"/>
      <c r="F5" s="5" t="n"/>
    </row>
    <row r="6" ht="44" customHeight="1">
      <c r="A6" s="4" t="inlineStr">
        <is>
          <t>Placeholder paths</t>
        </is>
      </c>
      <c r="B6" s="3" t="inlineStr">
        <is>
          <t>Locations beginning with SIMULATED/ are illustrative references only. They do not mean those files exist. Replace with actual repository paths or controlled evidence locations.</t>
        </is>
      </c>
      <c r="C6" s="5" t="n"/>
      <c r="D6" s="5" t="n"/>
      <c r="E6" s="5" t="n"/>
      <c r="F6" s="5" t="n"/>
    </row>
    <row r="7" ht="44" customHeight="1">
      <c r="A7" s="4" t="inlineStr">
        <is>
          <t>Review status</t>
        </is>
      </c>
      <c r="B7" s="3" t="inlineStr">
        <is>
          <t>Pending Review = not yet assessed; Accepted = reviewer considers evidence relevant and sufficient for its stated purpose; Rejected = not suitable; Needs Update = corrections needed; Expired = no longer current.</t>
        </is>
      </c>
      <c r="C7" s="5" t="n"/>
      <c r="D7" s="5" t="n"/>
      <c r="E7" s="5" t="n"/>
      <c r="F7" s="5" t="n"/>
    </row>
    <row r="8" ht="44" customHeight="1">
      <c r="A8" s="4" t="inlineStr">
        <is>
          <t>Sensitivity</t>
        </is>
      </c>
      <c r="B8" s="3" t="inlineStr">
        <is>
          <t>Public, Internal, Confidential, and Restricted are example classifications. Follow the institution's approved classification policy.</t>
        </is>
      </c>
      <c r="C8" s="5" t="n"/>
      <c r="D8" s="5" t="n"/>
      <c r="E8" s="5" t="n"/>
      <c r="F8" s="5" t="n"/>
    </row>
    <row r="9" ht="44" customHeight="1">
      <c r="A9" s="4" t="inlineStr">
        <is>
          <t>Public portfolio safety</t>
        </is>
      </c>
      <c r="B9" s="3" t="inlineStr">
        <is>
          <t>Do not upload credentials, access tokens, personal data, real vulnerabilities, sensitive architecture, customer records, or confidential contracts. Use synthetic, sanitized examples.</t>
        </is>
      </c>
      <c r="C9" s="5" t="n"/>
      <c r="D9" s="5" t="n"/>
      <c r="E9" s="5" t="n"/>
      <c r="F9" s="5" t="n"/>
    </row>
    <row r="10" ht="44" customHeight="1">
      <c r="A10" s="4" t="inlineStr">
        <is>
          <t>Portfolio disclaimer</t>
        </is>
      </c>
      <c r="B10" s="3" t="inlineStr">
        <is>
          <t>BalticTrust Bank is fictional. Entries are illustrative placeholders for educational use, not proof that controls operate or that compliance has been achieved.</t>
        </is>
      </c>
      <c r="C10" s="5" t="n"/>
      <c r="D10" s="5" t="n"/>
      <c r="E10" s="5" t="n"/>
      <c r="F10" s="5" t="n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28" customWidth="1" min="4" max="4"/>
    <col width="24" customWidth="1" min="5" max="5"/>
    <col width="20" customWidth="1" min="6" max="6"/>
    <col width="42" customWidth="1" min="7" max="7"/>
    <col width="58" customWidth="1" min="8" max="8"/>
    <col width="34" customWidth="1" min="9" max="9"/>
    <col width="30" customWidth="1" min="10" max="10"/>
    <col width="16" customWidth="1" min="11" max="11"/>
    <col width="16" customWidth="1" min="12" max="12"/>
    <col width="18" customWidth="1" min="13" max="13"/>
    <col width="48" customWidth="1" min="14" max="14"/>
    <col width="24" customWidth="1" min="15" max="15"/>
    <col width="20" customWidth="1" min="16" max="16"/>
    <col width="28" customWidth="1" min="17" max="17"/>
    <col width="55" customWidth="1" min="18" max="18"/>
    <col width="48" customWidth="1" min="19" max="19"/>
    <col width="24" customWidth="1" min="20" max="20"/>
  </cols>
  <sheetData>
    <row r="1" ht="52" customHeight="1">
      <c r="A1" s="6" t="inlineStr">
        <is>
          <t>Evidence ID</t>
        </is>
      </c>
      <c r="B1" s="6" t="inlineStr">
        <is>
          <t>Evidence Title</t>
        </is>
      </c>
      <c r="C1" s="6" t="inlineStr">
        <is>
          <t>Evidence Type</t>
        </is>
      </c>
      <c r="D1" s="6" t="inlineStr">
        <is>
          <t>Related Domain</t>
        </is>
      </c>
      <c r="E1" s="6" t="inlineStr">
        <is>
          <t>Related Finding / Gap ID</t>
        </is>
      </c>
      <c r="F1" s="6" t="inlineStr">
        <is>
          <t>Related Action ID</t>
        </is>
      </c>
      <c r="G1" s="6" t="inlineStr">
        <is>
          <t>Control / Framework Reference</t>
        </is>
      </c>
      <c r="H1" s="6" t="inlineStr">
        <is>
          <t>Description / What It Demonstrates</t>
        </is>
      </c>
      <c r="I1" s="6" t="inlineStr">
        <is>
          <t>Source / System</t>
        </is>
      </c>
      <c r="J1" s="6" t="inlineStr">
        <is>
          <t>Evidence Owner</t>
        </is>
      </c>
      <c r="K1" s="6" t="inlineStr">
        <is>
          <t>Collection Date</t>
        </is>
      </c>
      <c r="L1" s="6" t="inlineStr">
        <is>
          <t>Review Date</t>
        </is>
      </c>
      <c r="M1" s="6" t="inlineStr">
        <is>
          <t>Sensitivity</t>
        </is>
      </c>
      <c r="N1" s="6" t="inlineStr">
        <is>
          <t>Storage Location / Link</t>
        </is>
      </c>
      <c r="O1" s="6" t="inlineStr">
        <is>
          <t>Integrity / Version</t>
        </is>
      </c>
      <c r="P1" s="6" t="inlineStr">
        <is>
          <t>Review Status</t>
        </is>
      </c>
      <c r="Q1" s="6" t="inlineStr">
        <is>
          <t>Reviewer</t>
        </is>
      </c>
      <c r="R1" s="6" t="inlineStr">
        <is>
          <t>Review Notes</t>
        </is>
      </c>
      <c r="S1" s="6" t="inlineStr">
        <is>
          <t>Retention / Disposal Notes</t>
        </is>
      </c>
      <c r="T1" s="6" t="inlineStr">
        <is>
          <t>Portfolio Use</t>
        </is>
      </c>
    </row>
    <row r="2">
      <c r="A2" s="7" t="inlineStr">
        <is>
          <t>EVD-001</t>
        </is>
      </c>
      <c r="B2" s="8" t="inlineStr">
        <is>
          <t>Cybersecurity governance meeting pack</t>
        </is>
      </c>
      <c r="C2" s="8" t="inlineStr">
        <is>
          <t>Meeting record</t>
        </is>
      </c>
      <c r="D2" s="8" t="inlineStr">
        <is>
          <t>Governance</t>
        </is>
      </c>
      <c r="E2" s="8" t="inlineStr">
        <is>
          <t>AF-001</t>
        </is>
      </c>
      <c r="F2" s="8" t="inlineStr">
        <is>
          <t>ACT-001</t>
        </is>
      </c>
      <c r="G2" s="8" t="inlineStr">
        <is>
          <t>Governance control; relevant framework mapping</t>
        </is>
      </c>
      <c r="H2" s="8" t="inlineStr">
        <is>
          <t>Demonstrates that cyber/ICT risks, decisions, owners, and overdue actions are reviewed.</t>
        </is>
      </c>
      <c r="I2" s="8" t="inlineStr">
        <is>
          <t>Simulated management reporting folder</t>
        </is>
      </c>
      <c r="J2" s="8" t="inlineStr">
        <is>
          <t>Risk &amp; Compliance Lead</t>
        </is>
      </c>
      <c r="K2" s="9" t="n"/>
      <c r="L2" s="9" t="n"/>
      <c r="M2" s="8" t="inlineStr">
        <is>
          <t>Internal</t>
        </is>
      </c>
      <c r="N2" s="8" t="inlineStr">
        <is>
          <t>SIMULATED/governance/meeting-pack-v1.pdf</t>
        </is>
      </c>
      <c r="O2" s="8" t="inlineStr">
        <is>
          <t>v1.0 — simulated</t>
        </is>
      </c>
      <c r="P2" s="8" t="inlineStr">
        <is>
          <t>Pending Review</t>
        </is>
      </c>
      <c r="Q2" s="8" t="inlineStr">
        <is>
          <t>GRC Reviewer</t>
        </is>
      </c>
      <c r="R2" s="8" t="inlineStr">
        <is>
          <t>Replace with reviewed fictional sample before claiming evidence supports the control.</t>
        </is>
      </c>
      <c r="S2" s="8" t="inlineStr">
        <is>
          <t>Apply an approved retention schedule; do not store confidential real records.</t>
        </is>
      </c>
      <c r="T2" s="8" t="inlineStr">
        <is>
          <t>Simulated placeholder</t>
        </is>
      </c>
    </row>
    <row r="3">
      <c r="A3" s="10" t="inlineStr">
        <is>
          <t>EVD-002</t>
        </is>
      </c>
      <c r="B3" s="3" t="inlineStr">
        <is>
          <t>Asset inventory and reconciliation log</t>
        </is>
      </c>
      <c r="C3" s="3" t="inlineStr">
        <is>
          <t>Inventory</t>
        </is>
      </c>
      <c r="D3" s="3" t="inlineStr">
        <is>
          <t>Asset Management</t>
        </is>
      </c>
      <c r="E3" s="3" t="inlineStr">
        <is>
          <t>AF-002</t>
        </is>
      </c>
      <c r="F3" s="3" t="inlineStr">
        <is>
          <t>ACT-002</t>
        </is>
      </c>
      <c r="G3" s="3" t="inlineStr">
        <is>
          <t>Asset inventory control; ISO 27001 / NIST CSF 2.0 mapping</t>
        </is>
      </c>
      <c r="H3" s="3" t="inlineStr">
        <is>
          <t>Shows asset ownership, criticality, lifecycle status, and reconciliation exceptions.</t>
        </is>
      </c>
      <c r="I3" s="3" t="inlineStr">
        <is>
          <t>Simulated CMDB / asset inventory</t>
        </is>
      </c>
      <c r="J3" s="3" t="inlineStr">
        <is>
          <t>IT Operations Manager</t>
        </is>
      </c>
      <c r="K3" s="11" t="n"/>
      <c r="L3" s="11" t="n"/>
      <c r="M3" s="3" t="inlineStr">
        <is>
          <t>Internal</t>
        </is>
      </c>
      <c r="N3" s="3" t="inlineStr">
        <is>
          <t>SIMULATED/assets/asset-inventory-v1.xlsx</t>
        </is>
      </c>
      <c r="O3" s="3" t="inlineStr">
        <is>
          <t>v1.0 — simulated</t>
        </is>
      </c>
      <c r="P3" s="3" t="inlineStr">
        <is>
          <t>Pending Review</t>
        </is>
      </c>
      <c r="Q3" s="3" t="inlineStr">
        <is>
          <t>IT Risk Reviewer</t>
        </is>
      </c>
      <c r="R3" s="3" t="inlineStr">
        <is>
          <t>Cross-reference the asset inventory workbook and verify ownership fields.</t>
        </is>
      </c>
      <c r="S3" s="3" t="inlineStr">
        <is>
          <t>Use approved retention and access controls.</t>
        </is>
      </c>
      <c r="T3" s="3" t="inlineStr">
        <is>
          <t>Simulated placeholder</t>
        </is>
      </c>
    </row>
    <row r="4">
      <c r="A4" s="7" t="inlineStr">
        <is>
          <t>EVD-003</t>
        </is>
      </c>
      <c r="B4" s="8" t="inlineStr">
        <is>
          <t>Risk register and treatment approvals</t>
        </is>
      </c>
      <c r="C4" s="8" t="inlineStr">
        <is>
          <t>Risk record</t>
        </is>
      </c>
      <c r="D4" s="8" t="inlineStr">
        <is>
          <t>Risk Management</t>
        </is>
      </c>
      <c r="E4" s="8" t="inlineStr">
        <is>
          <t>AF-003</t>
        </is>
      </c>
      <c r="F4" s="8" t="inlineStr">
        <is>
          <t>ACT-003</t>
        </is>
      </c>
      <c r="G4" s="8" t="inlineStr">
        <is>
          <t>Risk management control; ISO 27001 / NIST CSF 2.0 / DORA mapping</t>
        </is>
      </c>
      <c r="H4" s="8" t="inlineStr">
        <is>
          <t>Records risk ratings, treatment choices, accountable owners, residual risk, and approvals.</t>
        </is>
      </c>
      <c r="I4" s="8" t="inlineStr">
        <is>
          <t>Simulated GRC repository</t>
        </is>
      </c>
      <c r="J4" s="8" t="inlineStr">
        <is>
          <t>ICT Risk Manager</t>
        </is>
      </c>
      <c r="K4" s="9" t="n"/>
      <c r="L4" s="9" t="n"/>
      <c r="M4" s="8" t="inlineStr">
        <is>
          <t>Confidential</t>
        </is>
      </c>
      <c r="N4" s="8" t="inlineStr">
        <is>
          <t>SIMULATED/risk/risk-register-v1.xlsx</t>
        </is>
      </c>
      <c r="O4" s="8" t="inlineStr">
        <is>
          <t>v1.0 — simulated</t>
        </is>
      </c>
      <c r="P4" s="8" t="inlineStr">
        <is>
          <t>Pending Review</t>
        </is>
      </c>
      <c r="Q4" s="8" t="inlineStr">
        <is>
          <t>GRC Reviewer</t>
        </is>
      </c>
      <c r="R4" s="8" t="inlineStr">
        <is>
          <t>Do not include real sensitive risk data in a public repository.</t>
        </is>
      </c>
      <c r="S4" s="8" t="inlineStr">
        <is>
          <t>Restrict access in a real environment; retain per policy.</t>
        </is>
      </c>
      <c r="T4" s="8" t="inlineStr">
        <is>
          <t>Simulated placeholder</t>
        </is>
      </c>
    </row>
    <row r="5">
      <c r="A5" s="10" t="inlineStr">
        <is>
          <t>EVD-004</t>
        </is>
      </c>
      <c r="B5" s="3" t="inlineStr">
        <is>
          <t>MFA coverage and privileged access review</t>
        </is>
      </c>
      <c r="C5" s="3" t="inlineStr">
        <is>
          <t>Configuration / access review</t>
        </is>
      </c>
      <c r="D5" s="3" t="inlineStr">
        <is>
          <t>Identity &amp; Access</t>
        </is>
      </c>
      <c r="E5" s="3" t="inlineStr">
        <is>
          <t>AF-004</t>
        </is>
      </c>
      <c r="F5" s="3" t="inlineStr">
        <is>
          <t>ACT-004</t>
        </is>
      </c>
      <c r="G5" s="3" t="inlineStr">
        <is>
          <t>Identity and access control; ISO 27001 / NIST CSF 2.0 mapping</t>
        </is>
      </c>
      <c r="H5" s="3" t="inlineStr">
        <is>
          <t>Supports review of MFA coverage, privileged group membership, and access exceptions.</t>
        </is>
      </c>
      <c r="I5" s="3" t="inlineStr">
        <is>
          <t>Simulated identity platform export</t>
        </is>
      </c>
      <c r="J5" s="3" t="inlineStr">
        <is>
          <t>IAM Administrator</t>
        </is>
      </c>
      <c r="K5" s="11" t="n"/>
      <c r="L5" s="11" t="n"/>
      <c r="M5" s="3" t="inlineStr">
        <is>
          <t>Confidential</t>
        </is>
      </c>
      <c r="N5" s="3" t="inlineStr">
        <is>
          <t>SIMULATED/identity/mfa-access-review-v1.xlsx</t>
        </is>
      </c>
      <c r="O5" s="3" t="inlineStr">
        <is>
          <t>v1.0 — simulated</t>
        </is>
      </c>
      <c r="P5" s="3" t="inlineStr">
        <is>
          <t>Pending Review</t>
        </is>
      </c>
      <c r="Q5" s="3" t="inlineStr">
        <is>
          <t>Security Reviewer</t>
        </is>
      </c>
      <c r="R5" s="3" t="inlineStr">
        <is>
          <t>Use synthetic accounts and sanitized exports only; never publish credentials or personal data.</t>
        </is>
      </c>
      <c r="S5" s="3" t="inlineStr">
        <is>
          <t>Access reports may be sensitive; follow policy.</t>
        </is>
      </c>
      <c r="T5" s="3" t="inlineStr">
        <is>
          <t>Simulated placeholder</t>
        </is>
      </c>
    </row>
    <row r="6">
      <c r="A6" s="7" t="inlineStr">
        <is>
          <t>EVD-005</t>
        </is>
      </c>
      <c r="B6" s="8" t="inlineStr">
        <is>
          <t>Vulnerability remediation report</t>
        </is>
      </c>
      <c r="C6" s="8" t="inlineStr">
        <is>
          <t>Scan / remediation report</t>
        </is>
      </c>
      <c r="D6" s="8" t="inlineStr">
        <is>
          <t>Vulnerability Management</t>
        </is>
      </c>
      <c r="E6" s="8" t="inlineStr">
        <is>
          <t>AF-005</t>
        </is>
      </c>
      <c r="F6" s="8" t="inlineStr">
        <is>
          <t>ACT-005</t>
        </is>
      </c>
      <c r="G6" s="8" t="inlineStr">
        <is>
          <t>Vulnerability and patch management control</t>
        </is>
      </c>
      <c r="H6" s="8" t="inlineStr">
        <is>
          <t>Shows findings, severity, remediation owner, due date, exception, and closure evidence.</t>
        </is>
      </c>
      <c r="I6" s="8" t="inlineStr">
        <is>
          <t>Simulated vulnerability management tool</t>
        </is>
      </c>
      <c r="J6" s="8" t="inlineStr">
        <is>
          <t>Security Engineer</t>
        </is>
      </c>
      <c r="K6" s="9" t="n"/>
      <c r="L6" s="9" t="n"/>
      <c r="M6" s="8" t="inlineStr">
        <is>
          <t>Confidential</t>
        </is>
      </c>
      <c r="N6" s="8" t="inlineStr">
        <is>
          <t>SIMULATED/vulnerability/remediation-report-v1.xlsx</t>
        </is>
      </c>
      <c r="O6" s="8" t="inlineStr">
        <is>
          <t>v1.0 — simulated</t>
        </is>
      </c>
      <c r="P6" s="8" t="inlineStr">
        <is>
          <t>Pending Review</t>
        </is>
      </c>
      <c r="Q6" s="8" t="inlineStr">
        <is>
          <t>Security Reviewer</t>
        </is>
      </c>
      <c r="R6" s="8" t="inlineStr">
        <is>
          <t>Only use authorized and sanitized test data in public portfolio materials.</t>
        </is>
      </c>
      <c r="S6" s="8" t="inlineStr">
        <is>
          <t>Remove sensitive hostnames, IPs, and exploit details before publication.</t>
        </is>
      </c>
      <c r="T6" s="8" t="inlineStr">
        <is>
          <t>Simulated placeholder</t>
        </is>
      </c>
    </row>
    <row r="7">
      <c r="A7" s="10" t="inlineStr">
        <is>
          <t>EVD-006</t>
        </is>
      </c>
      <c r="B7" s="3" t="inlineStr">
        <is>
          <t>Incident response tabletop exercise report</t>
        </is>
      </c>
      <c r="C7" s="3" t="inlineStr">
        <is>
          <t>Exercise record</t>
        </is>
      </c>
      <c r="D7" s="3" t="inlineStr">
        <is>
          <t>Incident Management</t>
        </is>
      </c>
      <c r="E7" s="3" t="inlineStr">
        <is>
          <t>AF-006</t>
        </is>
      </c>
      <c r="F7" s="3" t="inlineStr">
        <is>
          <t>ACT-006</t>
        </is>
      </c>
      <c r="G7" s="3" t="inlineStr">
        <is>
          <t>Incident response control; relevant NIST CSF / DORA mapping</t>
        </is>
      </c>
      <c r="H7" s="3" t="inlineStr">
        <is>
          <t>Documents scenario, participants by role, decisions, lessons learned, and assigned actions.</t>
        </is>
      </c>
      <c r="I7" s="3" t="inlineStr">
        <is>
          <t>Simulated exercise records</t>
        </is>
      </c>
      <c r="J7" s="3" t="inlineStr">
        <is>
          <t>Incident Response Lead</t>
        </is>
      </c>
      <c r="K7" s="11" t="n"/>
      <c r="L7" s="11" t="n"/>
      <c r="M7" s="3" t="inlineStr">
        <is>
          <t>Internal</t>
        </is>
      </c>
      <c r="N7" s="3" t="inlineStr">
        <is>
          <t>SIMULATED/incident/tabletop-report-v1.pdf</t>
        </is>
      </c>
      <c r="O7" s="3" t="inlineStr">
        <is>
          <t>v1.0 — simulated</t>
        </is>
      </c>
      <c r="P7" s="3" t="inlineStr">
        <is>
          <t>Pending Review</t>
        </is>
      </c>
      <c r="Q7" s="3" t="inlineStr">
        <is>
          <t>GRC Reviewer</t>
        </is>
      </c>
      <c r="R7" s="3" t="inlineStr">
        <is>
          <t>Use role names rather than real employee names in public samples.</t>
        </is>
      </c>
      <c r="S7" s="3" t="inlineStr">
        <is>
          <t>Retain according to incident and exercise policy.</t>
        </is>
      </c>
      <c r="T7" s="3" t="inlineStr">
        <is>
          <t>Simulated placeholder</t>
        </is>
      </c>
    </row>
    <row r="8">
      <c r="A8" s="7" t="inlineStr">
        <is>
          <t>EVD-007</t>
        </is>
      </c>
      <c r="B8" s="8" t="inlineStr">
        <is>
          <t>Backup restoration test results</t>
        </is>
      </c>
      <c r="C8" s="8" t="inlineStr">
        <is>
          <t>Test report</t>
        </is>
      </c>
      <c r="D8" s="8" t="inlineStr">
        <is>
          <t>Business Continuity &amp; Recovery</t>
        </is>
      </c>
      <c r="E8" s="8" t="inlineStr">
        <is>
          <t>AF-007</t>
        </is>
      </c>
      <c r="F8" s="8" t="inlineStr">
        <is>
          <t>ACT-007</t>
        </is>
      </c>
      <c r="G8" s="8" t="inlineStr">
        <is>
          <t>Backup, continuity, and recovery control</t>
        </is>
      </c>
      <c r="H8" s="8" t="inlineStr">
        <is>
          <t>Shows restoration scope, expected versus actual recovery, test result, and follow-up actions.</t>
        </is>
      </c>
      <c r="I8" s="8" t="inlineStr">
        <is>
          <t>Simulated backup/recovery platform</t>
        </is>
      </c>
      <c r="J8" s="8" t="inlineStr">
        <is>
          <t>Business Continuity Manager</t>
        </is>
      </c>
      <c r="K8" s="9" t="n"/>
      <c r="L8" s="9" t="n"/>
      <c r="M8" s="8" t="inlineStr">
        <is>
          <t>Confidential</t>
        </is>
      </c>
      <c r="N8" s="8" t="inlineStr">
        <is>
          <t>SIMULATED/recovery/restore-test-v1.pdf</t>
        </is>
      </c>
      <c r="O8" s="8" t="inlineStr">
        <is>
          <t>v1.0 — simulated</t>
        </is>
      </c>
      <c r="P8" s="8" t="inlineStr">
        <is>
          <t>Pending Review</t>
        </is>
      </c>
      <c r="Q8" s="8" t="inlineStr">
        <is>
          <t>Business Continuity Reviewer</t>
        </is>
      </c>
      <c r="R8" s="8" t="inlineStr">
        <is>
          <t>Do not include real system paths, backup locations, or security configuration details.</t>
        </is>
      </c>
      <c r="S8" s="8" t="inlineStr">
        <is>
          <t>Limit access and follow approved retention requirements.</t>
        </is>
      </c>
      <c r="T8" s="8" t="inlineStr">
        <is>
          <t>Simulated placeholder</t>
        </is>
      </c>
    </row>
    <row r="9">
      <c r="A9" s="10" t="inlineStr">
        <is>
          <t>EVD-008</t>
        </is>
      </c>
      <c r="B9" s="3" t="inlineStr">
        <is>
          <t>ICT supplier due diligence review</t>
        </is>
      </c>
      <c r="C9" s="3" t="inlineStr">
        <is>
          <t>Supplier assessment</t>
        </is>
      </c>
      <c r="D9" s="3" t="inlineStr">
        <is>
          <t>Third-Party ICT Risk</t>
        </is>
      </c>
      <c r="E9" s="3" t="inlineStr">
        <is>
          <t>AF-008</t>
        </is>
      </c>
      <c r="F9" s="3" t="inlineStr">
        <is>
          <t>ACT-008</t>
        </is>
      </c>
      <c r="G9" s="3" t="inlineStr">
        <is>
          <t>Third-party ICT risk control; relevant DORA mapping</t>
        </is>
      </c>
      <c r="H9" s="3" t="inlineStr">
        <is>
          <t>Records supplier tier, due diligence status, risk decision, contract review, and exit-plan actions.</t>
        </is>
      </c>
      <c r="I9" s="3" t="inlineStr">
        <is>
          <t>Simulated supplier risk repository</t>
        </is>
      </c>
      <c r="J9" s="3" t="inlineStr">
        <is>
          <t>Third-Party Risk Manager</t>
        </is>
      </c>
      <c r="K9" s="11" t="n"/>
      <c r="L9" s="11" t="n"/>
      <c r="M9" s="3" t="inlineStr">
        <is>
          <t>Confidential</t>
        </is>
      </c>
      <c r="N9" s="3" t="inlineStr">
        <is>
          <t>SIMULATED/suppliers/due-diligence-v1.xlsx</t>
        </is>
      </c>
      <c r="O9" s="3" t="inlineStr">
        <is>
          <t>v1.0 — simulated</t>
        </is>
      </c>
      <c r="P9" s="3" t="inlineStr">
        <is>
          <t>Pending Review</t>
        </is>
      </c>
      <c r="Q9" s="3" t="inlineStr">
        <is>
          <t>Third-Party Risk Reviewer</t>
        </is>
      </c>
      <c r="R9" s="3" t="inlineStr">
        <is>
          <t>Use fictional supplier names and synthetic contract details only.</t>
        </is>
      </c>
      <c r="S9" s="3" t="inlineStr">
        <is>
          <t>Protect real contracts and commercially sensitive supplier information.</t>
        </is>
      </c>
      <c r="T9" s="3" t="inlineStr">
        <is>
          <t>Simulated placeholder</t>
        </is>
      </c>
    </row>
    <row r="10">
      <c r="A10" s="7" t="inlineStr">
        <is>
          <t>EVD-009</t>
        </is>
      </c>
      <c r="B10" s="8" t="inlineStr">
        <is>
          <t>Framework mapping validation log</t>
        </is>
      </c>
      <c r="C10" s="8" t="inlineStr">
        <is>
          <t>Review log</t>
        </is>
      </c>
      <c r="D10" s="8" t="inlineStr">
        <is>
          <t>GRC / Compliance</t>
        </is>
      </c>
      <c r="E10" s="8" t="inlineStr">
        <is>
          <t>AF-009</t>
        </is>
      </c>
      <c r="F10" s="8" t="inlineStr">
        <is>
          <t>ACT-009</t>
        </is>
      </c>
      <c r="G10" s="8" t="inlineStr">
        <is>
          <t>ISO 27001; NIST CSF 2.0; DORA mapping references</t>
        </is>
      </c>
      <c r="H10" s="8" t="inlineStr">
        <is>
          <t>Tracks reviewer, date, applicability decision, evidence reference, and mapping changes.</t>
        </is>
      </c>
      <c r="I10" s="8" t="inlineStr">
        <is>
          <t>Simulated GRC repository</t>
        </is>
      </c>
      <c r="J10" s="8" t="inlineStr">
        <is>
          <t>GRC Analyst</t>
        </is>
      </c>
      <c r="K10" s="9" t="n"/>
      <c r="L10" s="9" t="n"/>
      <c r="M10" s="8" t="inlineStr">
        <is>
          <t>Internal</t>
        </is>
      </c>
      <c r="N10" s="8" t="inlineStr">
        <is>
          <t>SIMULATED/mapping/validation-log-v1.xlsx</t>
        </is>
      </c>
      <c r="O10" s="8" t="inlineStr">
        <is>
          <t>v1.0 — simulated</t>
        </is>
      </c>
      <c r="P10" s="8" t="inlineStr">
        <is>
          <t>Pending Review</t>
        </is>
      </c>
      <c r="Q10" s="8" t="inlineStr">
        <is>
          <t>GRC Lead</t>
        </is>
      </c>
      <c r="R10" s="8" t="inlineStr">
        <is>
          <t>Validate exact references and applicability against authoritative sources.</t>
        </is>
      </c>
      <c r="S10" s="8" t="inlineStr">
        <is>
          <t>Retain with the relevant compliance assessment.</t>
        </is>
      </c>
      <c r="T10" s="8" t="inlineStr">
        <is>
          <t>Simulated placeholder</t>
        </is>
      </c>
    </row>
    <row r="11">
      <c r="A11" s="10" t="inlineStr">
        <is>
          <t>EVD-010</t>
        </is>
      </c>
      <c r="B11" s="3" t="inlineStr">
        <is>
          <t>Remediation closure review</t>
        </is>
      </c>
      <c r="C11" s="3" t="inlineStr">
        <is>
          <t>Closure record</t>
        </is>
      </c>
      <c r="D11" s="3" t="inlineStr">
        <is>
          <t>Assurance &amp; Improvement</t>
        </is>
      </c>
      <c r="E11" s="3" t="inlineStr">
        <is>
          <t>AF-010</t>
        </is>
      </c>
      <c r="F11" s="3" t="inlineStr">
        <is>
          <t>ACT-010</t>
        </is>
      </c>
      <c r="G11" s="3" t="inlineStr">
        <is>
          <t>Audit findings and remediation workflow</t>
        </is>
      </c>
      <c r="H11" s="3" t="inlineStr">
        <is>
          <t>Demonstrates action completion, evidence review, reviewer decision, and closure date.</t>
        </is>
      </c>
      <c r="I11" s="3" t="inlineStr">
        <is>
          <t>Simulated GRC repository</t>
        </is>
      </c>
      <c r="J11" s="3" t="inlineStr">
        <is>
          <t>GRC Analyst / Internal Audit</t>
        </is>
      </c>
      <c r="K11" s="11" t="n"/>
      <c r="L11" s="11" t="n"/>
      <c r="M11" s="3" t="inlineStr">
        <is>
          <t>Internal</t>
        </is>
      </c>
      <c r="N11" s="3" t="inlineStr">
        <is>
          <t>SIMULATED/remediation/closure-review-v1.pdf</t>
        </is>
      </c>
      <c r="O11" s="3" t="inlineStr">
        <is>
          <t>v1.0 — simulated</t>
        </is>
      </c>
      <c r="P11" s="3" t="inlineStr">
        <is>
          <t>Pending Review</t>
        </is>
      </c>
      <c r="Q11" s="3" t="inlineStr">
        <is>
          <t>GRC Lead</t>
        </is>
      </c>
      <c r="R11" s="3" t="inlineStr">
        <is>
          <t>Closure evidence should show that the action is effective, not only that a task was completed.</t>
        </is>
      </c>
      <c r="S11" s="3" t="inlineStr">
        <is>
          <t>Retain with the finding and action records.</t>
        </is>
      </c>
      <c r="T11" s="3" t="inlineStr">
        <is>
          <t>Simulated placeholder</t>
        </is>
      </c>
    </row>
    <row r="12">
      <c r="A12" s="7" t="inlineStr">
        <is>
          <t>EVD-011</t>
        </is>
      </c>
      <c r="B12" s="8" t="inlineStr">
        <is>
          <t>Security awareness completion report</t>
        </is>
      </c>
      <c r="C12" s="8" t="inlineStr">
        <is>
          <t>Training record</t>
        </is>
      </c>
      <c r="D12" s="8" t="inlineStr">
        <is>
          <t>Security Awareness</t>
        </is>
      </c>
      <c r="E12" s="8" t="inlineStr"/>
      <c r="F12" s="8" t="inlineStr"/>
      <c r="G12" s="8" t="inlineStr">
        <is>
          <t>Security awareness control; relevant ISO 27001 / NIST CSF mapping</t>
        </is>
      </c>
      <c r="H12" s="8" t="inlineStr">
        <is>
          <t>Shows training coverage and completion by role or department using aggregated synthetic data.</t>
        </is>
      </c>
      <c r="I12" s="8" t="inlineStr">
        <is>
          <t>Simulated learning platform</t>
        </is>
      </c>
      <c r="J12" s="8" t="inlineStr">
        <is>
          <t>HR / Security Lead</t>
        </is>
      </c>
      <c r="K12" s="9" t="n"/>
      <c r="L12" s="9" t="n"/>
      <c r="M12" s="8" t="inlineStr">
        <is>
          <t>Internal</t>
        </is>
      </c>
      <c r="N12" s="8" t="inlineStr">
        <is>
          <t>SIMULATED/awareness/completion-report-v1.xlsx</t>
        </is>
      </c>
      <c r="O12" s="8" t="inlineStr">
        <is>
          <t>v1.0 — simulated</t>
        </is>
      </c>
      <c r="P12" s="8" t="inlineStr">
        <is>
          <t>Pending Review</t>
        </is>
      </c>
      <c r="Q12" s="8" t="inlineStr">
        <is>
          <t>Security Reviewer</t>
        </is>
      </c>
      <c r="R12" s="8" t="inlineStr">
        <is>
          <t>Use aggregated fictional data, not employee personal data.</t>
        </is>
      </c>
      <c r="S12" s="8" t="inlineStr">
        <is>
          <t>Follow training-record retention policy.</t>
        </is>
      </c>
      <c r="T12" s="8" t="inlineStr">
        <is>
          <t>Simulated placeholder</t>
        </is>
      </c>
    </row>
    <row r="13">
      <c r="A13" s="10" t="inlineStr">
        <is>
          <t>EVD-012</t>
        </is>
      </c>
      <c r="B13" s="3" t="inlineStr">
        <is>
          <t>ICT resilience test plan and results</t>
        </is>
      </c>
      <c r="C13" s="3" t="inlineStr">
        <is>
          <t>Test plan / report</t>
        </is>
      </c>
      <c r="D13" s="3" t="inlineStr">
        <is>
          <t>Resilience Testing</t>
        </is>
      </c>
      <c r="E13" s="3" t="inlineStr"/>
      <c r="F13" s="3" t="inlineStr"/>
      <c r="G13" s="3" t="inlineStr">
        <is>
          <t>ICT resilience testing; relevant DORA mapping</t>
        </is>
      </c>
      <c r="H13" s="3" t="inlineStr">
        <is>
          <t>Records risk-based test scope, schedule, results, findings, and remediation follow-up.</t>
        </is>
      </c>
      <c r="I13" s="3" t="inlineStr">
        <is>
          <t>Simulated testing repository</t>
        </is>
      </c>
      <c r="J13" s="3" t="inlineStr">
        <is>
          <t>Security Testing Lead</t>
        </is>
      </c>
      <c r="K13" s="11" t="n"/>
      <c r="L13" s="11" t="n"/>
      <c r="M13" s="3" t="inlineStr">
        <is>
          <t>Confidential</t>
        </is>
      </c>
      <c r="N13" s="3" t="inlineStr">
        <is>
          <t>SIMULATED/resilience/test-plan-results-v1.pdf</t>
        </is>
      </c>
      <c r="O13" s="3" t="inlineStr">
        <is>
          <t>v1.0 — simulated</t>
        </is>
      </c>
      <c r="P13" s="3" t="inlineStr">
        <is>
          <t>Pending Review</t>
        </is>
      </c>
      <c r="Q13" s="3" t="inlineStr">
        <is>
          <t>GRC Reviewer</t>
        </is>
      </c>
      <c r="R13" s="3" t="inlineStr">
        <is>
          <t>Validate which resilience testing obligations apply; use fictional system details.</t>
        </is>
      </c>
      <c r="S13" s="3" t="inlineStr">
        <is>
          <t>Restrict sensitive test details in a real environment.</t>
        </is>
      </c>
      <c r="T13" s="3" t="inlineStr">
        <is>
          <t>Simulated placeholder</t>
        </is>
      </c>
    </row>
  </sheetData>
  <conditionalFormatting sqref="P2:P13">
    <cfRule type="cellIs" priority="1" operator="equal" dxfId="0">
      <formula>"Pending Review"</formula>
    </cfRule>
    <cfRule type="cellIs" priority="2" operator="equal" dxfId="1">
      <formula>"Accepted"</formula>
    </cfRule>
    <cfRule type="cellIs" priority="3" operator="equal" dxfId="2">
      <formula>"Rejected"</formula>
    </cfRule>
    <cfRule type="cellIs" priority="4" operator="equal" dxfId="3">
      <formula>"Needs Update"</formula>
    </cfRule>
    <cfRule type="cellIs" priority="5" operator="equal" dxfId="4">
      <formula>"Expired"</formula>
    </cfRule>
  </conditionalFormatting>
  <conditionalFormatting sqref="M2:M13">
    <cfRule type="cellIs" priority="6" operator="equal" dxfId="1">
      <formula>"Public"</formula>
    </cfRule>
    <cfRule type="cellIs" priority="7" operator="equal" dxfId="5">
      <formula>"Internal"</formula>
    </cfRule>
    <cfRule type="cellIs" priority="8" operator="equal" dxfId="6">
      <formula>"Confidential"</formula>
    </cfRule>
    <cfRule type="cellIs" priority="9" operator="equal" dxfId="2">
      <formula>"Restricted"</formula>
    </cfRule>
  </conditionalFormatting>
  <dataValidations count="3">
    <dataValidation sqref="M2:M13" showDropDown="0" showInputMessage="0" showErrorMessage="0" allowBlank="0" type="list">
      <formula1>"Public,Internal,Confidential,Restricted"</formula1>
    </dataValidation>
    <dataValidation sqref="P2:P13" showDropDown="0" showInputMessage="0" showErrorMessage="0" allowBlank="0" type="list">
      <formula1>"Pending Review,Accepted,Rejected,Needs Update,Expired"</formula1>
    </dataValidation>
    <dataValidation sqref="C2:C13" showDropDown="0" showInputMessage="0" showErrorMessage="0" allowBlank="1" type="list">
      <formula1>"Document,Meeting record,Inventory,Risk record,Configuration / access review,Scan / remediation report,Exercise record,Test report,Supplier assessment,Review log,Closure record,Training record,Test plan / report,Other"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2026-10-09T19:17:18Z</dcterms:created>
  <dcterms:modified xmlns:dcterms="http://purl.org/dc/terms/" xmlns:xsi="http://www.w3.org/2001/XMLSchema-instance" xsi:type="dcterms:W3CDTF">2026-10-09T19:17:18Z</dcterms:modified>
</cp:coreProperties>
</file>