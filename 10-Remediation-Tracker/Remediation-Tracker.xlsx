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Remediation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</font>
    <font>
      <b val="1"/>
      <color rgb="00FFFFFF"/>
      <sz val="1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9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6DE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0" pivotButton="0" quotePrefix="0" xfId="0"/>
    <xf numFmtId="0" fontId="4" fillId="4" borderId="0" pivotButton="0" quotePrefix="0" xfId="0"/>
    <xf numFmtId="0" fontId="0" fillId="0" borderId="1" applyAlignment="1" pivotButton="0" quotePrefix="0" xfId="0">
      <alignment vertical="top" wrapText="1"/>
    </xf>
    <xf numFmtId="0" fontId="2" fillId="5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9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ill>
        <patternFill patternType="solid">
          <fgColor rgb="00FFC7CE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mediationTrackerTable" displayName="RemediationTrackerTable" ref="A1:U11" headerRowCount="1">
  <autoFilter ref="A1:U11"/>
  <tableColumns count="21">
    <tableColumn id="1" name="Action ID"/>
    <tableColumn id="2" name="Linked Finding ID"/>
    <tableColumn id="3" name="Action Title"/>
    <tableColumn id="4" name="Related Domain"/>
    <tableColumn id="5" name="Priority"/>
    <tableColumn id="6" name="Root Cause / Gap Addressed"/>
    <tableColumn id="7" name="Remediation Task"/>
    <tableColumn id="8" name="Success Criteria"/>
    <tableColumn id="9" name="Accountable Owner"/>
    <tableColumn id="10" name="Supporting Team"/>
    <tableColumn id="11" name="Date Raised"/>
    <tableColumn id="12" name="Target Date"/>
    <tableColumn id="13" name="Status"/>
    <tableColumn id="14" name="% Complete"/>
    <tableColumn id="15" name="Days Until Due"/>
    <tableColumn id="16" name="Schedule Health"/>
    <tableColumn id="17" name="Dependency / Blocker"/>
    <tableColumn id="18" name="Evidence Link / Reference"/>
    <tableColumn id="19" name="Closure Reviewer"/>
    <tableColumn id="20" name="Closure Date"/>
    <tableColumn id="21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8" customWidth="1" min="3" max="3"/>
    <col width="4" customWidth="1" min="4" max="4"/>
  </cols>
  <sheetData>
    <row r="1" ht="34" customHeight="1">
      <c r="A1" s="1" t="inlineStr">
        <is>
          <t>BalticTrust Bank — Remediation Tracker Summary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Purpose</t>
        </is>
      </c>
      <c r="D2" s="2" t="inlineStr"/>
    </row>
    <row r="3">
      <c r="A3" s="3" t="inlineStr">
        <is>
          <t>Total actions</t>
        </is>
      </c>
      <c r="B3" s="3">
        <f>COUNTA('Remediation Tracker'!A2:A11)</f>
        <v/>
      </c>
      <c r="C3" s="3" t="inlineStr">
        <is>
          <t>All example actions in the tracker</t>
        </is>
      </c>
    </row>
    <row r="4">
      <c r="A4" s="3" t="inlineStr">
        <is>
          <t>Critical priority</t>
        </is>
      </c>
      <c r="B4" s="3">
        <f>COUNTIF('Remediation Tracker'!E2:E11,"Critical")</f>
        <v/>
      </c>
      <c r="C4" s="3" t="inlineStr">
        <is>
          <t>Review immediately and validate urgency</t>
        </is>
      </c>
    </row>
    <row r="5">
      <c r="A5" s="3" t="inlineStr">
        <is>
          <t>High priority</t>
        </is>
      </c>
      <c r="B5" s="3">
        <f>COUNTIF('Remediation Tracker'!E2:E11,"High")</f>
        <v/>
      </c>
      <c r="C5" s="3" t="inlineStr">
        <is>
          <t>Plan timely remediation</t>
        </is>
      </c>
    </row>
    <row r="6">
      <c r="A6" s="3" t="inlineStr">
        <is>
          <t>Not started</t>
        </is>
      </c>
      <c r="B6" s="3">
        <f>COUNTIF('Remediation Tracker'!M2:M11,"Not Started")</f>
        <v/>
      </c>
      <c r="C6" s="3" t="inlineStr">
        <is>
          <t>Actions not yet underway</t>
        </is>
      </c>
    </row>
    <row r="7">
      <c r="A7" s="3" t="inlineStr">
        <is>
          <t>In progress</t>
        </is>
      </c>
      <c r="B7" s="3">
        <f>COUNTIF('Remediation Tracker'!M2:M11,"In Progress")</f>
        <v/>
      </c>
      <c r="C7" s="3" t="inlineStr">
        <is>
          <t>Actions underway</t>
        </is>
      </c>
    </row>
    <row r="8">
      <c r="A8" s="3" t="inlineStr">
        <is>
          <t>Blocked</t>
        </is>
      </c>
      <c r="B8" s="3">
        <f>COUNTIF('Remediation Tracker'!M2:M11,"Blocked")</f>
        <v/>
      </c>
      <c r="C8" s="3" t="inlineStr">
        <is>
          <t>Resolve dependency or escalation</t>
        </is>
      </c>
    </row>
    <row r="9">
      <c r="A9" s="3" t="inlineStr">
        <is>
          <t>Overdue</t>
        </is>
      </c>
      <c r="B9" s="3">
        <f>COUNTIF('Remediation Tracker'!P2:P11,"Overdue")</f>
        <v/>
      </c>
      <c r="C9" s="3" t="inlineStr">
        <is>
          <t>Check target dates and escalate</t>
        </is>
      </c>
    </row>
    <row r="10">
      <c r="A10" s="3" t="inlineStr">
        <is>
          <t>Due soon</t>
        </is>
      </c>
      <c r="B10" s="3">
        <f>COUNTIF('Remediation Tracker'!P2:P11,"Due soon")</f>
        <v/>
      </c>
      <c r="C10" s="3" t="inlineStr">
        <is>
          <t>Review actions due within 14 days</t>
        </is>
      </c>
    </row>
    <row r="11">
      <c r="A11" s="3" t="inlineStr">
        <is>
          <t>Closed</t>
        </is>
      </c>
      <c r="B11" s="3">
        <f>COUNTIF('Remediation Tracker'!M2:M11,"Closed")</f>
        <v/>
      </c>
      <c r="C11" s="3" t="inlineStr">
        <is>
          <t>Close only after evidence review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4" customHeight="1">
      <c r="A1" s="1" t="inlineStr">
        <is>
          <t>BalticTrust Bank — Remediation Tracker</t>
        </is>
      </c>
    </row>
    <row r="3" ht="32" customHeight="1">
      <c r="A3" s="4" t="inlineStr">
        <is>
          <t>Purpose</t>
        </is>
      </c>
      <c r="B3" s="3" t="inlineStr">
        <is>
          <t>Track corrective actions arising from the illustrative GRC gap assessment and audit findings register.</t>
        </is>
      </c>
      <c r="C3" s="5" t="n"/>
      <c r="D3" s="5" t="n"/>
      <c r="E3" s="5" t="n"/>
      <c r="F3" s="5" t="n"/>
    </row>
    <row r="4" ht="44" customHeight="1">
      <c r="A4" s="4" t="inlineStr">
        <is>
          <t>Workbook sheets</t>
        </is>
      </c>
      <c r="B4" s="3" t="inlineStr">
        <is>
          <t>Summary: action counts and schedule health. Remediation Tracker: action details, owner, priority, progress, due dates, blockers, evidence, and closure review.</t>
        </is>
      </c>
      <c r="C4" s="5" t="n"/>
      <c r="D4" s="5" t="n"/>
      <c r="E4" s="5" t="n"/>
      <c r="F4" s="5" t="n"/>
    </row>
    <row r="5" ht="44" customHeight="1">
      <c r="A5" s="4" t="inlineStr">
        <is>
          <t>How to use</t>
        </is>
      </c>
      <c r="B5" s="3" t="inlineStr">
        <is>
          <t>Validate each action against your findings. Update owner, supporting team, target date, status, and percentage complete. Add evidence links or references that do not expose secrets or personal data.</t>
        </is>
      </c>
      <c r="C5" s="5" t="n"/>
      <c r="D5" s="5" t="n"/>
      <c r="E5" s="5" t="n"/>
      <c r="F5" s="5" t="n"/>
    </row>
    <row r="6" ht="44" customHeight="1">
      <c r="A6" s="4" t="inlineStr">
        <is>
          <t>Schedule health</t>
        </is>
      </c>
      <c r="B6" s="3" t="inlineStr">
        <is>
          <t>Calculated from the target date and current date: Overdue means target date has passed; Due soon means target date is within 14 days; On track means more than 14 days remain; Closed follows status. Confirm formula behavior in your spreadsheet application.</t>
        </is>
      </c>
      <c r="C6" s="5" t="n"/>
      <c r="D6" s="5" t="n"/>
      <c r="E6" s="5" t="n"/>
      <c r="F6" s="5" t="n"/>
    </row>
    <row r="7" ht="44" customHeight="1">
      <c r="A7" s="4" t="inlineStr">
        <is>
          <t>Status definitions</t>
        </is>
      </c>
      <c r="B7" s="3" t="inlineStr">
        <is>
          <t>Not Started = no work begun; In Progress = work underway; Blocked = a dependency prevents progress; Ready for Review = action is reported complete and awaiting validation; Closed = closure evidence reviewed; Accepted Risk = formally approved risk acceptance.</t>
        </is>
      </c>
      <c r="C7" s="5" t="n"/>
      <c r="D7" s="5" t="n"/>
      <c r="E7" s="5" t="n"/>
      <c r="F7" s="5" t="n"/>
    </row>
    <row r="8" ht="44" customHeight="1">
      <c r="A8" s="4" t="inlineStr">
        <is>
          <t>Closure criteria</t>
        </is>
      </c>
      <c r="B8" s="3" t="inlineStr">
        <is>
          <t>Do not close an action merely because work is reported complete. Record objective evidence, have the designated reviewer assess it, and document the closure date.</t>
        </is>
      </c>
      <c r="C8" s="5" t="n"/>
      <c r="D8" s="5" t="n"/>
      <c r="E8" s="5" t="n"/>
      <c r="F8" s="5" t="n"/>
    </row>
    <row r="9" ht="44" customHeight="1">
      <c r="A9" s="4" t="inlineStr">
        <is>
          <t>Portfolio disclaimer</t>
        </is>
      </c>
      <c r="B9" s="3" t="inlineStr">
        <is>
          <t>BalticTrust Bank is fictional. Actions, owners, dates, and priorities are illustrative examples and are not evidence of actual remediation. Adapt them to the validated findings and approved risk method.</t>
        </is>
      </c>
      <c r="C9" s="5" t="n"/>
      <c r="D9" s="5" t="n"/>
      <c r="E9" s="5" t="n"/>
      <c r="F9" s="5" t="n"/>
    </row>
    <row r="10" ht="32" customHeight="1">
      <c r="A10" s="4" t="inlineStr">
        <is>
          <t>Suggested workflow</t>
        </is>
      </c>
      <c r="B10" s="3" t="inlineStr">
        <is>
          <t>Audit finding → corrective action → owner and due date → evidence collection → reviewer validation → closure or further action.</t>
        </is>
      </c>
      <c r="C10" s="5" t="n"/>
      <c r="D10" s="5" t="n"/>
      <c r="E10" s="5" t="n"/>
      <c r="F10" s="5" t="n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6" customWidth="1" min="3" max="3"/>
    <col width="28" customWidth="1" min="4" max="4"/>
    <col width="14" customWidth="1" min="5" max="5"/>
    <col width="48" customWidth="1" min="6" max="6"/>
    <col width="55" customWidth="1" min="7" max="7"/>
    <col width="52" customWidth="1" min="8" max="8"/>
    <col width="30" customWidth="1" min="9" max="9"/>
    <col width="32" customWidth="1" min="10" max="10"/>
    <col width="16" customWidth="1" min="11" max="11"/>
    <col width="16" customWidth="1" min="12" max="12"/>
    <col width="20" customWidth="1" min="13" max="13"/>
    <col width="14" customWidth="1" min="14" max="14"/>
    <col width="16" customWidth="1" min="15" max="15"/>
    <col width="18" customWidth="1" min="16" max="16"/>
    <col width="38" customWidth="1" min="17" max="17"/>
    <col width="44" customWidth="1" min="18" max="18"/>
    <col width="28" customWidth="1" min="19" max="19"/>
    <col width="16" customWidth="1" min="20" max="20"/>
    <col width="42" customWidth="1" min="21" max="21"/>
  </cols>
  <sheetData>
    <row r="1" ht="52" customHeight="1">
      <c r="A1" s="6" t="inlineStr">
        <is>
          <t>Action ID</t>
        </is>
      </c>
      <c r="B1" s="6" t="inlineStr">
        <is>
          <t>Linked Finding ID</t>
        </is>
      </c>
      <c r="C1" s="6" t="inlineStr">
        <is>
          <t>Action Title</t>
        </is>
      </c>
      <c r="D1" s="6" t="inlineStr">
        <is>
          <t>Related Domain</t>
        </is>
      </c>
      <c r="E1" s="6" t="inlineStr">
        <is>
          <t>Priority</t>
        </is>
      </c>
      <c r="F1" s="6" t="inlineStr">
        <is>
          <t>Root Cause / Gap Addressed</t>
        </is>
      </c>
      <c r="G1" s="6" t="inlineStr">
        <is>
          <t>Remediation Task</t>
        </is>
      </c>
      <c r="H1" s="6" t="inlineStr">
        <is>
          <t>Success Criteria</t>
        </is>
      </c>
      <c r="I1" s="6" t="inlineStr">
        <is>
          <t>Accountable Owner</t>
        </is>
      </c>
      <c r="J1" s="6" t="inlineStr">
        <is>
          <t>Supporting Team</t>
        </is>
      </c>
      <c r="K1" s="6" t="inlineStr">
        <is>
          <t>Date Raised</t>
        </is>
      </c>
      <c r="L1" s="6" t="inlineStr">
        <is>
          <t>Target Date</t>
        </is>
      </c>
      <c r="M1" s="6" t="inlineStr">
        <is>
          <t>Status</t>
        </is>
      </c>
      <c r="N1" s="6" t="inlineStr">
        <is>
          <t>% Complete</t>
        </is>
      </c>
      <c r="O1" s="6" t="inlineStr">
        <is>
          <t>Days Until Due</t>
        </is>
      </c>
      <c r="P1" s="6" t="inlineStr">
        <is>
          <t>Schedule Health</t>
        </is>
      </c>
      <c r="Q1" s="6" t="inlineStr">
        <is>
          <t>Dependency / Blocker</t>
        </is>
      </c>
      <c r="R1" s="6" t="inlineStr">
        <is>
          <t>Evidence Link / Reference</t>
        </is>
      </c>
      <c r="S1" s="6" t="inlineStr">
        <is>
          <t>Closure Reviewer</t>
        </is>
      </c>
      <c r="T1" s="6" t="inlineStr">
        <is>
          <t>Closure Date</t>
        </is>
      </c>
      <c r="U1" s="6" t="inlineStr">
        <is>
          <t>Notes</t>
        </is>
      </c>
    </row>
    <row r="2">
      <c r="A2" s="7" t="inlineStr">
        <is>
          <t>ACT-001</t>
        </is>
      </c>
      <c r="B2" s="8" t="inlineStr">
        <is>
          <t>AF-001</t>
        </is>
      </c>
      <c r="C2" s="8" t="inlineStr">
        <is>
          <t>Formalize cybersecurity risk governance</t>
        </is>
      </c>
      <c r="D2" s="8" t="inlineStr">
        <is>
          <t>Governance</t>
        </is>
      </c>
      <c r="E2" s="8" t="inlineStr">
        <is>
          <t>High</t>
        </is>
      </c>
      <c r="F2" s="8" t="inlineStr">
        <is>
          <t>Management review cadence and evidence expectations may not be assigned.</t>
        </is>
      </c>
      <c r="G2" s="8" t="inlineStr">
        <is>
          <t>Create a quarterly ICT/cyber risk review pack, meeting agenda, decision log, and action tracker.</t>
        </is>
      </c>
      <c r="H2" s="8" t="inlineStr">
        <is>
          <t>A review is held, decisions and owners are recorded, and overdue actions are followed up.</t>
        </is>
      </c>
      <c r="I2" s="8" t="inlineStr">
        <is>
          <t>Risk &amp; Compliance Lead</t>
        </is>
      </c>
      <c r="J2" s="8" t="inlineStr">
        <is>
          <t>Security; IT Operations</t>
        </is>
      </c>
      <c r="K2" s="9" t="n">
        <v>46304</v>
      </c>
      <c r="L2" s="9" t="n">
        <v>46402</v>
      </c>
      <c r="M2" s="8" t="inlineStr">
        <is>
          <t>Not Started</t>
        </is>
      </c>
      <c r="N2" s="10" t="n">
        <v>0</v>
      </c>
      <c r="O2" s="8">
        <f>IF(L2="","",L2-TODAY())</f>
        <v/>
      </c>
      <c r="P2" s="8">
        <f>IF(M2="Closed","Closed",IF(L2="","No target date",IF(L2&lt;TODAY(),"Overdue",IF(L2-TODAY()&lt;=14,"Due soon","On track"))))</f>
        <v/>
      </c>
      <c r="Q2" s="8" t="inlineStr">
        <is>
          <t>Agree governance forum and attendees.</t>
        </is>
      </c>
      <c r="R2" s="8" t="inlineStr">
        <is>
          <t>Simulated evidence: meeting pack and action log</t>
        </is>
      </c>
      <c r="S2" s="8" t="inlineStr">
        <is>
          <t>GRC Reviewer</t>
        </is>
      </c>
      <c r="T2" s="9" t="n"/>
      <c r="U2" s="8" t="inlineStr">
        <is>
          <t>Illustrative action; validate scope and owners.</t>
        </is>
      </c>
    </row>
    <row r="3">
      <c r="A3" s="11" t="inlineStr">
        <is>
          <t>ACT-002</t>
        </is>
      </c>
      <c r="B3" s="3" t="inlineStr">
        <is>
          <t>AF-002</t>
        </is>
      </c>
      <c r="C3" s="3" t="inlineStr">
        <is>
          <t>Reconcile asset inventory</t>
        </is>
      </c>
      <c r="D3" s="3" t="inlineStr">
        <is>
          <t>Asset Management</t>
        </is>
      </c>
      <c r="E3" s="3" t="inlineStr">
        <is>
          <t>High</t>
        </is>
      </c>
      <c r="F3" s="3" t="inlineStr">
        <is>
          <t>Inventory ownership, criticality, lifecycle, or dependencies may be incomplete.</t>
        </is>
      </c>
      <c r="G3" s="3" t="inlineStr">
        <is>
          <t>Review asset records with service owners; assign owner, criticality, lifecycle status, and service dependency fields.</t>
        </is>
      </c>
      <c r="H3" s="3" t="inlineStr">
        <is>
          <t>All in-scope critical assets have an owner and criticality; reconciliation exceptions are tracked.</t>
        </is>
      </c>
      <c r="I3" s="3" t="inlineStr">
        <is>
          <t>IT Operations Manager</t>
        </is>
      </c>
      <c r="J3" s="3" t="inlineStr">
        <is>
          <t>Application owners; Infrastructure</t>
        </is>
      </c>
      <c r="K3" s="12" t="n">
        <v>46304</v>
      </c>
      <c r="L3" s="12" t="n">
        <v>46376</v>
      </c>
      <c r="M3" s="3" t="inlineStr">
        <is>
          <t>Not Started</t>
        </is>
      </c>
      <c r="N3" s="13" t="n">
        <v>0</v>
      </c>
      <c r="O3" s="3">
        <f>IF(L3="","",L3-TODAY())</f>
        <v/>
      </c>
      <c r="P3" s="3">
        <f>IF(M3="Closed","Closed",IF(L3="","No target date",IF(L3&lt;TODAY(),"Overdue",IF(L3-TODAY()&lt;=14,"Due soon","On track"))))</f>
        <v/>
      </c>
      <c r="Q3" s="3" t="inlineStr">
        <is>
          <t>Obtain current inventory and owner confirmations.</t>
        </is>
      </c>
      <c r="R3" s="3" t="inlineStr">
        <is>
          <t>Updated asset inventory; reconciliation log</t>
        </is>
      </c>
      <c r="S3" s="3" t="inlineStr">
        <is>
          <t>IT Risk Reviewer</t>
        </is>
      </c>
      <c r="T3" s="12" t="n"/>
      <c r="U3" s="3" t="inlineStr">
        <is>
          <t>Cross-reference 02-Asset-Inventory.</t>
        </is>
      </c>
    </row>
    <row r="4">
      <c r="A4" s="7" t="inlineStr">
        <is>
          <t>ACT-003</t>
        </is>
      </c>
      <c r="B4" s="8" t="inlineStr">
        <is>
          <t>AF-003</t>
        </is>
      </c>
      <c r="C4" s="8" t="inlineStr">
        <is>
          <t>Standardize risk treatment approvals</t>
        </is>
      </c>
      <c r="D4" s="8" t="inlineStr">
        <is>
          <t>Risk Management</t>
        </is>
      </c>
      <c r="E4" s="8" t="inlineStr">
        <is>
          <t>High</t>
        </is>
      </c>
      <c r="F4" s="8" t="inlineStr">
        <is>
          <t>Risk treatment and residual-risk approval trail may be inconsistent.</t>
        </is>
      </c>
      <c r="G4" s="8" t="inlineStr">
        <is>
          <t>Document scoring criteria and treatment options; record risk owner, action, due date, residual risk, and approval.</t>
        </is>
      </c>
      <c r="H4" s="8" t="inlineStr">
        <is>
          <t>Risk register entries contain documented treatment decisions and authorized residual-risk approvals.</t>
        </is>
      </c>
      <c r="I4" s="8" t="inlineStr">
        <is>
          <t>ICT Risk Manager</t>
        </is>
      </c>
      <c r="J4" s="8" t="inlineStr">
        <is>
          <t>GRC; control owners</t>
        </is>
      </c>
      <c r="K4" s="9" t="n">
        <v>46304</v>
      </c>
      <c r="L4" s="9" t="n">
        <v>46378</v>
      </c>
      <c r="M4" s="8" t="inlineStr">
        <is>
          <t>Not Started</t>
        </is>
      </c>
      <c r="N4" s="10" t="n">
        <v>0</v>
      </c>
      <c r="O4" s="8">
        <f>IF(L4="","",L4-TODAY())</f>
        <v/>
      </c>
      <c r="P4" s="8">
        <f>IF(M4="Closed","Closed",IF(L4="","No target date",IF(L4&lt;TODAY(),"Overdue",IF(L4-TODAY()&lt;=14,"Due soon","On track"))))</f>
        <v/>
      </c>
      <c r="Q4" s="8" t="inlineStr">
        <is>
          <t>Agree risk appetite and approval authority.</t>
        </is>
      </c>
      <c r="R4" s="8" t="inlineStr">
        <is>
          <t>Updated risk register; treatment approvals</t>
        </is>
      </c>
      <c r="S4" s="8" t="inlineStr">
        <is>
          <t>GRC Reviewer</t>
        </is>
      </c>
      <c r="T4" s="9" t="n"/>
      <c r="U4" s="8" t="inlineStr">
        <is>
          <t>Cross-reference 03-Risk-Assessment.</t>
        </is>
      </c>
    </row>
    <row r="5">
      <c r="A5" s="11" t="inlineStr">
        <is>
          <t>ACT-004</t>
        </is>
      </c>
      <c r="B5" s="3" t="inlineStr">
        <is>
          <t>AF-004</t>
        </is>
      </c>
      <c r="C5" s="3" t="inlineStr">
        <is>
          <t>Verify privileged access and MFA</t>
        </is>
      </c>
      <c r="D5" s="3" t="inlineStr">
        <is>
          <t>Identity &amp; Access</t>
        </is>
      </c>
      <c r="E5" s="3" t="inlineStr">
        <is>
          <t>Critical</t>
        </is>
      </c>
      <c r="F5" s="3" t="inlineStr">
        <is>
          <t>MFA coverage and access review evidence need verification.</t>
        </is>
      </c>
      <c r="G5" s="3" t="inlineStr">
        <is>
          <t>Review privileged and remote access; verify MFA coverage; remove unnecessary access; document time-limited exceptions.</t>
        </is>
      </c>
      <c r="H5" s="3" t="inlineStr">
        <is>
          <t>MFA coverage is evidenced for defined in-scope access; access review exceptions have owners and approvals.</t>
        </is>
      </c>
      <c r="I5" s="3" t="inlineStr">
        <is>
          <t>IAM Administrator</t>
        </is>
      </c>
      <c r="J5" s="3" t="inlineStr">
        <is>
          <t>Security; IT Operations</t>
        </is>
      </c>
      <c r="K5" s="12" t="n">
        <v>46304</v>
      </c>
      <c r="L5" s="12" t="n">
        <v>46399</v>
      </c>
      <c r="M5" s="3" t="inlineStr">
        <is>
          <t>Not Started</t>
        </is>
      </c>
      <c r="N5" s="13" t="n">
        <v>0</v>
      </c>
      <c r="O5" s="3">
        <f>IF(L5="","",L5-TODAY())</f>
        <v/>
      </c>
      <c r="P5" s="3">
        <f>IF(M5="Closed","Closed",IF(L5="","No target date",IF(L5&lt;TODAY(),"Overdue",IF(L5-TODAY()&lt;=14,"Due soon","On track"))))</f>
        <v/>
      </c>
      <c r="Q5" s="3" t="inlineStr">
        <is>
          <t>Access to identity configuration and group listings.</t>
        </is>
      </c>
      <c r="R5" s="3" t="inlineStr">
        <is>
          <t>MFA report; access review sign-off; exception log</t>
        </is>
      </c>
      <c r="S5" s="3" t="inlineStr">
        <is>
          <t>Security Reviewer</t>
        </is>
      </c>
      <c r="T5" s="12" t="n"/>
      <c r="U5" s="3" t="inlineStr">
        <is>
          <t>Use simulated evidence only in public portfolio.</t>
        </is>
      </c>
    </row>
    <row r="6">
      <c r="A6" s="7" t="inlineStr">
        <is>
          <t>ACT-005</t>
        </is>
      </c>
      <c r="B6" s="8" t="inlineStr">
        <is>
          <t>AF-005</t>
        </is>
      </c>
      <c r="C6" s="8" t="inlineStr">
        <is>
          <t>Improve vulnerability remediation tracking</t>
        </is>
      </c>
      <c r="D6" s="8" t="inlineStr">
        <is>
          <t>Vulnerability Management</t>
        </is>
      </c>
      <c r="E6" s="8" t="inlineStr">
        <is>
          <t>High</t>
        </is>
      </c>
      <c r="F6" s="8" t="inlineStr">
        <is>
          <t>Risk-based patch timelines and exception handling may be inconsistent.</t>
        </is>
      </c>
      <c r="G6" s="8" t="inlineStr">
        <is>
          <t>Define remediation SLAs by severity; link authorized scan results to tickets; report overdue findings and exceptions.</t>
        </is>
      </c>
      <c r="H6" s="8" t="inlineStr">
        <is>
          <t>Findings have a severity, owner, target date, status, and verified closure evidence.</t>
        </is>
      </c>
      <c r="I6" s="8" t="inlineStr">
        <is>
          <t>Security Engineer</t>
        </is>
      </c>
      <c r="J6" s="8" t="inlineStr">
        <is>
          <t>IT Operations; Change Management</t>
        </is>
      </c>
      <c r="K6" s="9" t="n">
        <v>46304</v>
      </c>
      <c r="L6" s="9" t="n">
        <v>46412</v>
      </c>
      <c r="M6" s="8" t="inlineStr">
        <is>
          <t>Not Started</t>
        </is>
      </c>
      <c r="N6" s="10" t="n">
        <v>0</v>
      </c>
      <c r="O6" s="8">
        <f>IF(L6="","",L6-TODAY())</f>
        <v/>
      </c>
      <c r="P6" s="8">
        <f>IF(M6="Closed","Closed",IF(L6="","No target date",IF(L6&lt;TODAY(),"Overdue",IF(L6-TODAY()&lt;=14,"Due soon","On track"))))</f>
        <v/>
      </c>
      <c r="Q6" s="8" t="inlineStr">
        <is>
          <t>Agree remediation SLAs and change windows.</t>
        </is>
      </c>
      <c r="R6" s="8" t="inlineStr">
        <is>
          <t>Sample scan report; patch report; remediation tickets</t>
        </is>
      </c>
      <c r="S6" s="8" t="inlineStr">
        <is>
          <t>Security Reviewer</t>
        </is>
      </c>
      <c r="T6" s="9" t="n"/>
      <c r="U6" s="8" t="inlineStr">
        <is>
          <t>Use authorized testing and non-sensitive sample data.</t>
        </is>
      </c>
    </row>
    <row r="7">
      <c r="A7" s="11" t="inlineStr">
        <is>
          <t>ACT-006</t>
        </is>
      </c>
      <c r="B7" s="3" t="inlineStr">
        <is>
          <t>AF-006</t>
        </is>
      </c>
      <c r="C7" s="3" t="inlineStr">
        <is>
          <t>Exercise incident response workflow</t>
        </is>
      </c>
      <c r="D7" s="3" t="inlineStr">
        <is>
          <t>Incident Management</t>
        </is>
      </c>
      <c r="E7" s="3" t="inlineStr">
        <is>
          <t>High</t>
        </is>
      </c>
      <c r="F7" s="3" t="inlineStr">
        <is>
          <t>Incident roles, escalation, exercise schedule, and reporting decision criteria may be unclear.</t>
        </is>
      </c>
      <c r="G7" s="3" t="inlineStr">
        <is>
          <t>Approve severity matrix and response procedure; run a tabletop exercise; record lessons and corrective actions.</t>
        </is>
      </c>
      <c r="H7" s="3" t="inlineStr">
        <is>
          <t>Exercise completed; lessons assigned to owners; reporting decision process documented and reviewed.</t>
        </is>
      </c>
      <c r="I7" s="3" t="inlineStr">
        <is>
          <t>Incident Response Lead</t>
        </is>
      </c>
      <c r="J7" s="3" t="inlineStr">
        <is>
          <t>Compliance; IT; Communications</t>
        </is>
      </c>
      <c r="K7" s="12" t="n">
        <v>46304</v>
      </c>
      <c r="L7" s="12" t="n">
        <v>46412</v>
      </c>
      <c r="M7" s="3" t="inlineStr">
        <is>
          <t>Not Started</t>
        </is>
      </c>
      <c r="N7" s="13" t="n">
        <v>0</v>
      </c>
      <c r="O7" s="3">
        <f>IF(L7="","",L7-TODAY())</f>
        <v/>
      </c>
      <c r="P7" s="3">
        <f>IF(M7="Closed","Closed",IF(L7="","No target date",IF(L7&lt;TODAY(),"Overdue",IF(L7-TODAY()&lt;=14,"Due soon","On track"))))</f>
        <v/>
      </c>
      <c r="Q7" s="3" t="inlineStr">
        <is>
          <t>Confirm participant availability and scenario.</t>
        </is>
      </c>
      <c r="R7" s="3" t="inlineStr">
        <is>
          <t>Approved procedure; tabletop report; action log</t>
        </is>
      </c>
      <c r="S7" s="3" t="inlineStr">
        <is>
          <t>GRC Reviewer</t>
        </is>
      </c>
      <c r="T7" s="12" t="n"/>
      <c r="U7" s="3" t="inlineStr">
        <is>
          <t>Validate regulatory requirements against current official sources.</t>
        </is>
      </c>
    </row>
    <row r="8">
      <c r="A8" s="7" t="inlineStr">
        <is>
          <t>ACT-007</t>
        </is>
      </c>
      <c r="B8" s="8" t="inlineStr">
        <is>
          <t>AF-007</t>
        </is>
      </c>
      <c r="C8" s="8" t="inlineStr">
        <is>
          <t>Test backup restoration and recovery</t>
        </is>
      </c>
      <c r="D8" s="8" t="inlineStr">
        <is>
          <t>Business Continuity &amp; Recovery</t>
        </is>
      </c>
      <c r="E8" s="8" t="inlineStr">
        <is>
          <t>High</t>
        </is>
      </c>
      <c r="F8" s="8" t="inlineStr">
        <is>
          <t>Recovery objectives and restoration test evidence may be incomplete.</t>
        </is>
      </c>
      <c r="G8" s="8" t="inlineStr">
        <is>
          <t>Define recovery objectives for critical services; perform a controlled restore test; document results and lessons.</t>
        </is>
      </c>
      <c r="H8" s="8" t="inlineStr">
        <is>
          <t>Restore tests record expected versus actual recovery and have follow-up actions for exceptions.</t>
        </is>
      </c>
      <c r="I8" s="8" t="inlineStr">
        <is>
          <t>Business Continuity Manager</t>
        </is>
      </c>
      <c r="J8" s="8" t="inlineStr">
        <is>
          <t>IT Operations; Service owners</t>
        </is>
      </c>
      <c r="K8" s="9" t="n">
        <v>46304</v>
      </c>
      <c r="L8" s="9" t="n">
        <v>46433</v>
      </c>
      <c r="M8" s="8" t="inlineStr">
        <is>
          <t>Not Started</t>
        </is>
      </c>
      <c r="N8" s="10" t="n">
        <v>0</v>
      </c>
      <c r="O8" s="8">
        <f>IF(L8="","",L8-TODAY())</f>
        <v/>
      </c>
      <c r="P8" s="8">
        <f>IF(M8="Closed","Closed",IF(L8="","No target date",IF(L8&lt;TODAY(),"Overdue",IF(L8-TODAY()&lt;=14,"Due soon","On track"))))</f>
        <v/>
      </c>
      <c r="Q8" s="8" t="inlineStr">
        <is>
          <t>Agree test scope and change window.</t>
        </is>
      </c>
      <c r="R8" s="8" t="inlineStr">
        <is>
          <t>Recovery plan; restore-test report; action log</t>
        </is>
      </c>
      <c r="S8" s="8" t="inlineStr">
        <is>
          <t>Business Continuity Reviewer</t>
        </is>
      </c>
      <c r="T8" s="9" t="n"/>
      <c r="U8" s="8" t="inlineStr">
        <is>
          <t>Coordinate testing to avoid unintended service disruption.</t>
        </is>
      </c>
    </row>
    <row r="9">
      <c r="A9" s="11" t="inlineStr">
        <is>
          <t>ACT-008</t>
        </is>
      </c>
      <c r="B9" s="3" t="inlineStr">
        <is>
          <t>AF-008</t>
        </is>
      </c>
      <c r="C9" s="3" t="inlineStr">
        <is>
          <t>Review critical ICT suppliers</t>
        </is>
      </c>
      <c r="D9" s="3" t="inlineStr">
        <is>
          <t>Third-Party ICT Risk</t>
        </is>
      </c>
      <c r="E9" s="3" t="inlineStr">
        <is>
          <t>High</t>
        </is>
      </c>
      <c r="F9" s="3" t="inlineStr">
        <is>
          <t>Supplier tiering, due diligence, contract review, and exit planning may need improvement.</t>
        </is>
      </c>
      <c r="G9" s="3" t="inlineStr">
        <is>
          <t>Identify critical suppliers; complete risk-tiered due diligence; review relevant contract clauses and exit options.</t>
        </is>
      </c>
      <c r="H9" s="3" t="inlineStr">
        <is>
          <t>Critical suppliers have current assessments, documented decisions, and tracked contractual or exit-plan gaps.</t>
        </is>
      </c>
      <c r="I9" s="3" t="inlineStr">
        <is>
          <t>Third-Party Risk Manager</t>
        </is>
      </c>
      <c r="J9" s="3" t="inlineStr">
        <is>
          <t>Procurement; Legal; IT</t>
        </is>
      </c>
      <c r="K9" s="12" t="n">
        <v>46304</v>
      </c>
      <c r="L9" s="12" t="n">
        <v>46428</v>
      </c>
      <c r="M9" s="3" t="inlineStr">
        <is>
          <t>Not Started</t>
        </is>
      </c>
      <c r="N9" s="13" t="n">
        <v>0</v>
      </c>
      <c r="O9" s="3">
        <f>IF(L9="","",L9-TODAY())</f>
        <v/>
      </c>
      <c r="P9" s="3">
        <f>IF(M9="Closed","Closed",IF(L9="","No target date",IF(L9&lt;TODAY(),"Overdue",IF(L9-TODAY()&lt;=14,"Due soon","On track"))))</f>
        <v/>
      </c>
      <c r="Q9" s="3" t="inlineStr">
        <is>
          <t>Obtain supplier register and relevant contracts.</t>
        </is>
      </c>
      <c r="R9" s="3" t="inlineStr">
        <is>
          <t>Supplier register; due diligence; contract review</t>
        </is>
      </c>
      <c r="S9" s="3" t="inlineStr">
        <is>
          <t>Third-Party Risk Reviewer</t>
        </is>
      </c>
      <c r="T9" s="12" t="n"/>
      <c r="U9" s="3" t="inlineStr">
        <is>
          <t>Validate legal and contract-specific obligations.</t>
        </is>
      </c>
    </row>
    <row r="10">
      <c r="A10" s="7" t="inlineStr">
        <is>
          <t>ACT-009</t>
        </is>
      </c>
      <c r="B10" s="8" t="inlineStr">
        <is>
          <t>AF-009</t>
        </is>
      </c>
      <c r="C10" s="8" t="inlineStr">
        <is>
          <t>Validate framework mapping traceability</t>
        </is>
      </c>
      <c r="D10" s="8" t="inlineStr">
        <is>
          <t>GRC / Compliance</t>
        </is>
      </c>
      <c r="E10" s="8" t="inlineStr">
        <is>
          <t>Medium</t>
        </is>
      </c>
      <c r="F10" s="8" t="inlineStr">
        <is>
          <t>Mapping review and approval process may not be formally defined.</t>
        </is>
      </c>
      <c r="G10" s="8" t="inlineStr">
        <is>
          <t>Review internal control-to-framework references, applicability, evidence, and exceptions; record reviewer and date.</t>
        </is>
      </c>
      <c r="H10" s="8" t="inlineStr">
        <is>
          <t>Mappings have documented validation status, evidence references, and accountable reviewers.</t>
        </is>
      </c>
      <c r="I10" s="8" t="inlineStr">
        <is>
          <t>GRC Analyst</t>
        </is>
      </c>
      <c r="J10" s="8" t="inlineStr">
        <is>
          <t>Security; Compliance</t>
        </is>
      </c>
      <c r="K10" s="9" t="n">
        <v>46304</v>
      </c>
      <c r="L10" s="9" t="n">
        <v>46446</v>
      </c>
      <c r="M10" s="8" t="inlineStr">
        <is>
          <t>Not Started</t>
        </is>
      </c>
      <c r="N10" s="10" t="n">
        <v>0</v>
      </c>
      <c r="O10" s="8">
        <f>IF(L10="","",L10-TODAY())</f>
        <v/>
      </c>
      <c r="P10" s="8">
        <f>IF(M10="Closed","Closed",IF(L10="","No target date",IF(L10&lt;TODAY(),"Overdue",IF(L10-TODAY()&lt;=14,"Due soon","On track"))))</f>
        <v/>
      </c>
      <c r="Q10" s="8" t="inlineStr">
        <is>
          <t>Confirm authoritative framework versions and internal control IDs.</t>
        </is>
      </c>
      <c r="R10" s="8" t="inlineStr">
        <is>
          <t>Reviewed mappings; validation log; evidence index</t>
        </is>
      </c>
      <c r="S10" s="8" t="inlineStr">
        <is>
          <t>GRC Lead</t>
        </is>
      </c>
      <c r="T10" s="9" t="n"/>
      <c r="U10" s="8" t="inlineStr">
        <is>
          <t>Mapping does not establish certification or compliance.</t>
        </is>
      </c>
    </row>
    <row r="11">
      <c r="A11" s="11" t="inlineStr">
        <is>
          <t>ACT-010</t>
        </is>
      </c>
      <c r="B11" s="3" t="inlineStr">
        <is>
          <t>AF-010</t>
        </is>
      </c>
      <c r="C11" s="3" t="inlineStr">
        <is>
          <t>Establish closure review process</t>
        </is>
      </c>
      <c r="D11" s="3" t="inlineStr">
        <is>
          <t>Assurance &amp; Improvement</t>
        </is>
      </c>
      <c r="E11" s="3" t="inlineStr">
        <is>
          <t>Medium</t>
        </is>
      </c>
      <c r="F11" s="3" t="inlineStr">
        <is>
          <t>Finding closure criteria and independent review may not be consistently established.</t>
        </is>
      </c>
      <c r="G11" s="3" t="inlineStr">
        <is>
          <t>Use one central findings/action tracker; define escalation and closure criteria; require evidence review before closure.</t>
        </is>
      </c>
      <c r="H11" s="3" t="inlineStr">
        <is>
          <t>Each action has one accountable owner, due date, status, and documented closure review.</t>
        </is>
      </c>
      <c r="I11" s="3" t="inlineStr">
        <is>
          <t>GRC Analyst / Internal Audit</t>
        </is>
      </c>
      <c r="J11" s="3" t="inlineStr">
        <is>
          <t>Control owners; Management</t>
        </is>
      </c>
      <c r="K11" s="12" t="n">
        <v>46304</v>
      </c>
      <c r="L11" s="12" t="n">
        <v>46446</v>
      </c>
      <c r="M11" s="3" t="inlineStr">
        <is>
          <t>Not Started</t>
        </is>
      </c>
      <c r="N11" s="13" t="n">
        <v>0</v>
      </c>
      <c r="O11" s="3">
        <f>IF(L11="","",L11-TODAY())</f>
        <v/>
      </c>
      <c r="P11" s="3">
        <f>IF(M11="Closed","Closed",IF(L11="","No target date",IF(L11&lt;TODAY(),"Overdue",IF(L11-TODAY()&lt;=14,"Due soon","On track"))))</f>
        <v/>
      </c>
      <c r="Q11" s="3" t="inlineStr">
        <is>
          <t>Agree central tracker owner and closure authority.</t>
        </is>
      </c>
      <c r="R11" s="3" t="inlineStr">
        <is>
          <t>Remediation tracker; closure evidence; reviewer sign-off</t>
        </is>
      </c>
      <c r="S11" s="3" t="inlineStr">
        <is>
          <t>GRC Lead</t>
        </is>
      </c>
      <c r="T11" s="12" t="n"/>
      <c r="U11" s="3" t="inlineStr">
        <is>
          <t>Use with 08-GRC-Gap-Assessment and 09-Audit-Findings-Register.</t>
        </is>
      </c>
    </row>
  </sheetData>
  <conditionalFormatting sqref="E2:E11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P2:P11">
    <cfRule type="cellIs" priority="5" operator="equal" dxfId="0">
      <formula>"Overdue"</formula>
    </cfRule>
    <cfRule type="cellIs" priority="6" operator="equal" dxfId="4">
      <formula>"Due soon"</formula>
    </cfRule>
    <cfRule type="cellIs" priority="7" operator="equal" dxfId="3">
      <formula>"On track"</formula>
    </cfRule>
    <cfRule type="cellIs" priority="8" operator="equal" dxfId="5">
      <formula>"Closed"</formula>
    </cfRule>
  </conditionalFormatting>
  <conditionalFormatting sqref="M2:M11">
    <cfRule type="cellIs" priority="9" operator="equal" dxfId="0">
      <formula>"Not Started"</formula>
    </cfRule>
    <cfRule type="cellIs" priority="10" operator="equal" dxfId="4">
      <formula>"In Progress"</formula>
    </cfRule>
    <cfRule type="cellIs" priority="11" operator="equal" dxfId="1">
      <formula>"Blocked"</formula>
    </cfRule>
    <cfRule type="cellIs" priority="12" operator="equal" dxfId="5">
      <formula>"Ready for Review"</formula>
    </cfRule>
    <cfRule type="cellIs" priority="13" operator="equal" dxfId="6">
      <formula>"Closed"</formula>
    </cfRule>
    <cfRule type="cellIs" priority="14" operator="equal" dxfId="7">
      <formula>"Accepted Risk"</formula>
    </cfRule>
  </conditionalFormatting>
  <dataValidations count="3">
    <dataValidation sqref="M2:M11" showDropDown="0" showInputMessage="0" showErrorMessage="0" allowBlank="0" type="list">
      <formula1>"Not Started,In Progress,Blocked,Ready for Review,Closed,Accepted Risk"</formula1>
    </dataValidation>
    <dataValidation sqref="E2:E11" showDropDown="0" showInputMessage="0" showErrorMessage="0" allowBlank="0" type="list">
      <formula1>"Critical,High,Medium,Low"</formula1>
    </dataValidation>
    <dataValidation sqref="N2:N11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2026-10-09T19:09:43Z</dcterms:created>
  <dcterms:modified xmlns:dcterms="http://purl.org/dc/terms/" xmlns:xsi="http://www.w3.org/2001/XMLSchema-instance" xsi:type="dcterms:W3CDTF">2026-10-09T19:09:43Z</dcterms:modified>
</cp:coreProperties>
</file>